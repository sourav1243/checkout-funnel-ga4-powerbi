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ksni\Downloads\checkout-funnel-ga4-powerbi\checkout-funnel-ga4-powerbi\excel\"/>
    </mc:Choice>
  </mc:AlternateContent>
  <xr:revisionPtr revIDLastSave="0" documentId="13_ncr:1_{540B07E2-9EF3-4B0C-B197-B8DAF497BACE}" xr6:coauthVersionLast="47" xr6:coauthVersionMax="47" xr10:uidLastSave="{00000000-0000-0000-0000-000000000000}"/>
  <bookViews>
    <workbookView xWindow="-120" yWindow="-120" windowWidth="29040" windowHeight="16440" tabRatio="500" xr2:uid="{00000000-000D-0000-FFFF-FFFF00000000}"/>
  </bookViews>
  <sheets>
    <sheet name="Instructions" sheetId="1" r:id="rId1"/>
    <sheet name="Raw_CountryDevice" sheetId="2" r:id="rId2"/>
    <sheet name="BQ_DeviceOnly_Benchmark" sheetId="3" r:id="rId3"/>
    <sheet name="CrossCheck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4" l="1"/>
  <c r="D8" i="4"/>
  <c r="C8" i="4"/>
  <c r="B8" i="4"/>
  <c r="F8" i="4" s="1"/>
  <c r="E7" i="4"/>
  <c r="D7" i="4"/>
  <c r="C7" i="4"/>
  <c r="G7" i="4" s="1"/>
  <c r="B7" i="4"/>
  <c r="F7" i="4" s="1"/>
  <c r="E6" i="4"/>
  <c r="D6" i="4"/>
  <c r="C6" i="4"/>
  <c r="G6" i="4" s="1"/>
  <c r="B6" i="4"/>
  <c r="F6" i="4" s="1"/>
  <c r="E5" i="4"/>
  <c r="D5" i="4"/>
  <c r="C5" i="4"/>
  <c r="G5" i="4" s="1"/>
  <c r="B5" i="4"/>
  <c r="F5" i="4" s="1"/>
  <c r="K299" i="2"/>
  <c r="J299" i="2"/>
  <c r="I299" i="2"/>
  <c r="H299" i="2"/>
  <c r="K298" i="2"/>
  <c r="J298" i="2"/>
  <c r="I298" i="2"/>
  <c r="H298" i="2"/>
  <c r="K297" i="2"/>
  <c r="J297" i="2"/>
  <c r="I297" i="2"/>
  <c r="H297" i="2"/>
  <c r="K296" i="2"/>
  <c r="J296" i="2"/>
  <c r="I296" i="2"/>
  <c r="H296" i="2"/>
  <c r="K295" i="2"/>
  <c r="J295" i="2"/>
  <c r="I295" i="2"/>
  <c r="H295" i="2"/>
  <c r="K294" i="2"/>
  <c r="J294" i="2"/>
  <c r="I294" i="2"/>
  <c r="H294" i="2"/>
  <c r="K293" i="2"/>
  <c r="J293" i="2"/>
  <c r="I293" i="2"/>
  <c r="H293" i="2"/>
  <c r="K292" i="2"/>
  <c r="J292" i="2"/>
  <c r="I292" i="2"/>
  <c r="H292" i="2"/>
  <c r="K291" i="2"/>
  <c r="J291" i="2"/>
  <c r="I291" i="2"/>
  <c r="H291" i="2"/>
  <c r="K290" i="2"/>
  <c r="J290" i="2"/>
  <c r="I290" i="2"/>
  <c r="H290" i="2"/>
  <c r="K289" i="2"/>
  <c r="J289" i="2"/>
  <c r="I289" i="2"/>
  <c r="H289" i="2"/>
  <c r="K288" i="2"/>
  <c r="J288" i="2"/>
  <c r="I288" i="2"/>
  <c r="H288" i="2"/>
  <c r="K287" i="2"/>
  <c r="J287" i="2"/>
  <c r="I287" i="2"/>
  <c r="H287" i="2"/>
  <c r="K286" i="2"/>
  <c r="J286" i="2"/>
  <c r="I286" i="2"/>
  <c r="H286" i="2"/>
  <c r="K285" i="2"/>
  <c r="J285" i="2"/>
  <c r="I285" i="2"/>
  <c r="H285" i="2"/>
  <c r="K284" i="2"/>
  <c r="J284" i="2"/>
  <c r="I284" i="2"/>
  <c r="H284" i="2"/>
  <c r="K283" i="2"/>
  <c r="J283" i="2"/>
  <c r="I283" i="2"/>
  <c r="H283" i="2"/>
  <c r="K282" i="2"/>
  <c r="J282" i="2"/>
  <c r="I282" i="2"/>
  <c r="H282" i="2"/>
  <c r="K281" i="2"/>
  <c r="J281" i="2"/>
  <c r="I281" i="2"/>
  <c r="H281" i="2"/>
  <c r="K280" i="2"/>
  <c r="J280" i="2"/>
  <c r="I280" i="2"/>
  <c r="H280" i="2"/>
  <c r="K279" i="2"/>
  <c r="J279" i="2"/>
  <c r="I279" i="2"/>
  <c r="H279" i="2"/>
  <c r="K278" i="2"/>
  <c r="J278" i="2"/>
  <c r="I278" i="2"/>
  <c r="H278" i="2"/>
  <c r="K277" i="2"/>
  <c r="J277" i="2"/>
  <c r="I277" i="2"/>
  <c r="H277" i="2"/>
  <c r="K276" i="2"/>
  <c r="J276" i="2"/>
  <c r="I276" i="2"/>
  <c r="H276" i="2"/>
  <c r="K275" i="2"/>
  <c r="J275" i="2"/>
  <c r="I275" i="2"/>
  <c r="H275" i="2"/>
  <c r="K274" i="2"/>
  <c r="J274" i="2"/>
  <c r="I274" i="2"/>
  <c r="H274" i="2"/>
  <c r="K273" i="2"/>
  <c r="J273" i="2"/>
  <c r="I273" i="2"/>
  <c r="H273" i="2"/>
  <c r="K272" i="2"/>
  <c r="J272" i="2"/>
  <c r="I272" i="2"/>
  <c r="H272" i="2"/>
  <c r="K271" i="2"/>
  <c r="J271" i="2"/>
  <c r="I271" i="2"/>
  <c r="H271" i="2"/>
  <c r="K270" i="2"/>
  <c r="J270" i="2"/>
  <c r="I270" i="2"/>
  <c r="H270" i="2"/>
  <c r="K269" i="2"/>
  <c r="J269" i="2"/>
  <c r="I269" i="2"/>
  <c r="H269" i="2"/>
  <c r="K268" i="2"/>
  <c r="J268" i="2"/>
  <c r="I268" i="2"/>
  <c r="H268" i="2"/>
  <c r="K267" i="2"/>
  <c r="J267" i="2"/>
  <c r="I267" i="2"/>
  <c r="H267" i="2"/>
  <c r="K266" i="2"/>
  <c r="J266" i="2"/>
  <c r="I266" i="2"/>
  <c r="H266" i="2"/>
  <c r="K265" i="2"/>
  <c r="J265" i="2"/>
  <c r="I265" i="2"/>
  <c r="H265" i="2"/>
  <c r="K264" i="2"/>
  <c r="J264" i="2"/>
  <c r="I264" i="2"/>
  <c r="H264" i="2"/>
  <c r="K263" i="2"/>
  <c r="J263" i="2"/>
  <c r="I263" i="2"/>
  <c r="H263" i="2"/>
  <c r="K262" i="2"/>
  <c r="J262" i="2"/>
  <c r="I262" i="2"/>
  <c r="H262" i="2"/>
  <c r="K261" i="2"/>
  <c r="J261" i="2"/>
  <c r="I261" i="2"/>
  <c r="H261" i="2"/>
  <c r="K260" i="2"/>
  <c r="J260" i="2"/>
  <c r="I260" i="2"/>
  <c r="H260" i="2"/>
  <c r="K259" i="2"/>
  <c r="J259" i="2"/>
  <c r="I259" i="2"/>
  <c r="H259" i="2"/>
  <c r="K258" i="2"/>
  <c r="J258" i="2"/>
  <c r="I258" i="2"/>
  <c r="H258" i="2"/>
  <c r="K257" i="2"/>
  <c r="J257" i="2"/>
  <c r="I257" i="2"/>
  <c r="H257" i="2"/>
  <c r="K256" i="2"/>
  <c r="J256" i="2"/>
  <c r="I256" i="2"/>
  <c r="H256" i="2"/>
  <c r="K255" i="2"/>
  <c r="J255" i="2"/>
  <c r="I255" i="2"/>
  <c r="H255" i="2"/>
  <c r="K254" i="2"/>
  <c r="J254" i="2"/>
  <c r="I254" i="2"/>
  <c r="H254" i="2"/>
  <c r="K253" i="2"/>
  <c r="J253" i="2"/>
  <c r="I253" i="2"/>
  <c r="H253" i="2"/>
  <c r="K252" i="2"/>
  <c r="J252" i="2"/>
  <c r="I252" i="2"/>
  <c r="H252" i="2"/>
  <c r="K251" i="2"/>
  <c r="J251" i="2"/>
  <c r="I251" i="2"/>
  <c r="H251" i="2"/>
  <c r="K250" i="2"/>
  <c r="J250" i="2"/>
  <c r="I250" i="2"/>
  <c r="H250" i="2"/>
  <c r="K249" i="2"/>
  <c r="J249" i="2"/>
  <c r="I249" i="2"/>
  <c r="H249" i="2"/>
  <c r="K248" i="2"/>
  <c r="J248" i="2"/>
  <c r="I248" i="2"/>
  <c r="H248" i="2"/>
  <c r="K247" i="2"/>
  <c r="J247" i="2"/>
  <c r="I247" i="2"/>
  <c r="H247" i="2"/>
  <c r="K246" i="2"/>
  <c r="J246" i="2"/>
  <c r="I246" i="2"/>
  <c r="H246" i="2"/>
  <c r="K245" i="2"/>
  <c r="J245" i="2"/>
  <c r="I245" i="2"/>
  <c r="H245" i="2"/>
  <c r="K244" i="2"/>
  <c r="J244" i="2"/>
  <c r="I244" i="2"/>
  <c r="H244" i="2"/>
  <c r="K243" i="2"/>
  <c r="J243" i="2"/>
  <c r="I243" i="2"/>
  <c r="H243" i="2"/>
  <c r="K242" i="2"/>
  <c r="J242" i="2"/>
  <c r="I242" i="2"/>
  <c r="H242" i="2"/>
  <c r="K241" i="2"/>
  <c r="J241" i="2"/>
  <c r="I241" i="2"/>
  <c r="H241" i="2"/>
  <c r="K240" i="2"/>
  <c r="J240" i="2"/>
  <c r="I240" i="2"/>
  <c r="H240" i="2"/>
  <c r="K239" i="2"/>
  <c r="J239" i="2"/>
  <c r="I239" i="2"/>
  <c r="H239" i="2"/>
  <c r="K238" i="2"/>
  <c r="J238" i="2"/>
  <c r="I238" i="2"/>
  <c r="H238" i="2"/>
  <c r="K237" i="2"/>
  <c r="J237" i="2"/>
  <c r="I237" i="2"/>
  <c r="H237" i="2"/>
  <c r="K236" i="2"/>
  <c r="J236" i="2"/>
  <c r="I236" i="2"/>
  <c r="H236" i="2"/>
  <c r="K235" i="2"/>
  <c r="J235" i="2"/>
  <c r="I235" i="2"/>
  <c r="H235" i="2"/>
  <c r="K234" i="2"/>
  <c r="J234" i="2"/>
  <c r="I234" i="2"/>
  <c r="H234" i="2"/>
  <c r="K233" i="2"/>
  <c r="J233" i="2"/>
  <c r="I233" i="2"/>
  <c r="H233" i="2"/>
  <c r="K232" i="2"/>
  <c r="J232" i="2"/>
  <c r="I232" i="2"/>
  <c r="H232" i="2"/>
  <c r="K231" i="2"/>
  <c r="J231" i="2"/>
  <c r="I231" i="2"/>
  <c r="H231" i="2"/>
  <c r="K230" i="2"/>
  <c r="J230" i="2"/>
  <c r="I230" i="2"/>
  <c r="H230" i="2"/>
  <c r="K229" i="2"/>
  <c r="J229" i="2"/>
  <c r="I229" i="2"/>
  <c r="H229" i="2"/>
  <c r="K228" i="2"/>
  <c r="J228" i="2"/>
  <c r="I228" i="2"/>
  <c r="H228" i="2"/>
  <c r="K227" i="2"/>
  <c r="J227" i="2"/>
  <c r="I227" i="2"/>
  <c r="H227" i="2"/>
  <c r="K226" i="2"/>
  <c r="J226" i="2"/>
  <c r="I226" i="2"/>
  <c r="H226" i="2"/>
  <c r="K225" i="2"/>
  <c r="J225" i="2"/>
  <c r="I225" i="2"/>
  <c r="H225" i="2"/>
  <c r="K224" i="2"/>
  <c r="J224" i="2"/>
  <c r="I224" i="2"/>
  <c r="H224" i="2"/>
  <c r="K223" i="2"/>
  <c r="J223" i="2"/>
  <c r="I223" i="2"/>
  <c r="H223" i="2"/>
  <c r="K222" i="2"/>
  <c r="J222" i="2"/>
  <c r="I222" i="2"/>
  <c r="H222" i="2"/>
  <c r="K221" i="2"/>
  <c r="J221" i="2"/>
  <c r="I221" i="2"/>
  <c r="H221" i="2"/>
  <c r="K220" i="2"/>
  <c r="J220" i="2"/>
  <c r="I220" i="2"/>
  <c r="H220" i="2"/>
  <c r="K219" i="2"/>
  <c r="J219" i="2"/>
  <c r="I219" i="2"/>
  <c r="H219" i="2"/>
  <c r="K218" i="2"/>
  <c r="J218" i="2"/>
  <c r="I218" i="2"/>
  <c r="H218" i="2"/>
  <c r="K217" i="2"/>
  <c r="J217" i="2"/>
  <c r="I217" i="2"/>
  <c r="H217" i="2"/>
  <c r="K216" i="2"/>
  <c r="J216" i="2"/>
  <c r="I216" i="2"/>
  <c r="H216" i="2"/>
  <c r="K215" i="2"/>
  <c r="J215" i="2"/>
  <c r="I215" i="2"/>
  <c r="H215" i="2"/>
  <c r="K214" i="2"/>
  <c r="J214" i="2"/>
  <c r="I214" i="2"/>
  <c r="H214" i="2"/>
  <c r="K213" i="2"/>
  <c r="J213" i="2"/>
  <c r="I213" i="2"/>
  <c r="H213" i="2"/>
  <c r="K212" i="2"/>
  <c r="J212" i="2"/>
  <c r="I212" i="2"/>
  <c r="H212" i="2"/>
  <c r="K211" i="2"/>
  <c r="J211" i="2"/>
  <c r="I211" i="2"/>
  <c r="H211" i="2"/>
  <c r="K210" i="2"/>
  <c r="J210" i="2"/>
  <c r="I210" i="2"/>
  <c r="H210" i="2"/>
  <c r="K209" i="2"/>
  <c r="J209" i="2"/>
  <c r="I209" i="2"/>
  <c r="H209" i="2"/>
  <c r="K208" i="2"/>
  <c r="J208" i="2"/>
  <c r="I208" i="2"/>
  <c r="H208" i="2"/>
  <c r="K207" i="2"/>
  <c r="J207" i="2"/>
  <c r="I207" i="2"/>
  <c r="H207" i="2"/>
  <c r="K206" i="2"/>
  <c r="J206" i="2"/>
  <c r="I206" i="2"/>
  <c r="H206" i="2"/>
  <c r="K205" i="2"/>
  <c r="J205" i="2"/>
  <c r="I205" i="2"/>
  <c r="H205" i="2"/>
  <c r="K204" i="2"/>
  <c r="J204" i="2"/>
  <c r="I204" i="2"/>
  <c r="H204" i="2"/>
  <c r="K203" i="2"/>
  <c r="J203" i="2"/>
  <c r="I203" i="2"/>
  <c r="H203" i="2"/>
  <c r="K202" i="2"/>
  <c r="J202" i="2"/>
  <c r="I202" i="2"/>
  <c r="H202" i="2"/>
  <c r="K201" i="2"/>
  <c r="J201" i="2"/>
  <c r="I201" i="2"/>
  <c r="H201" i="2"/>
  <c r="K200" i="2"/>
  <c r="J200" i="2"/>
  <c r="I200" i="2"/>
  <c r="H200" i="2"/>
  <c r="K199" i="2"/>
  <c r="J199" i="2"/>
  <c r="I199" i="2"/>
  <c r="H199" i="2"/>
  <c r="K198" i="2"/>
  <c r="J198" i="2"/>
  <c r="I198" i="2"/>
  <c r="H198" i="2"/>
  <c r="K197" i="2"/>
  <c r="J197" i="2"/>
  <c r="I197" i="2"/>
  <c r="H197" i="2"/>
  <c r="K196" i="2"/>
  <c r="J196" i="2"/>
  <c r="I196" i="2"/>
  <c r="H196" i="2"/>
  <c r="K195" i="2"/>
  <c r="J195" i="2"/>
  <c r="I195" i="2"/>
  <c r="H195" i="2"/>
  <c r="K194" i="2"/>
  <c r="J194" i="2"/>
  <c r="I194" i="2"/>
  <c r="H194" i="2"/>
  <c r="K193" i="2"/>
  <c r="J193" i="2"/>
  <c r="I193" i="2"/>
  <c r="H193" i="2"/>
  <c r="K192" i="2"/>
  <c r="J192" i="2"/>
  <c r="I192" i="2"/>
  <c r="H192" i="2"/>
  <c r="K191" i="2"/>
  <c r="J191" i="2"/>
  <c r="I191" i="2"/>
  <c r="H191" i="2"/>
  <c r="K190" i="2"/>
  <c r="J190" i="2"/>
  <c r="I190" i="2"/>
  <c r="H190" i="2"/>
  <c r="K189" i="2"/>
  <c r="J189" i="2"/>
  <c r="I189" i="2"/>
  <c r="H189" i="2"/>
  <c r="K188" i="2"/>
  <c r="J188" i="2"/>
  <c r="I188" i="2"/>
  <c r="H188" i="2"/>
  <c r="K187" i="2"/>
  <c r="J187" i="2"/>
  <c r="I187" i="2"/>
  <c r="H187" i="2"/>
  <c r="K186" i="2"/>
  <c r="J186" i="2"/>
  <c r="I186" i="2"/>
  <c r="H186" i="2"/>
  <c r="K185" i="2"/>
  <c r="J185" i="2"/>
  <c r="I185" i="2"/>
  <c r="H185" i="2"/>
  <c r="K184" i="2"/>
  <c r="J184" i="2"/>
  <c r="I184" i="2"/>
  <c r="H184" i="2"/>
  <c r="K183" i="2"/>
  <c r="J183" i="2"/>
  <c r="I183" i="2"/>
  <c r="H183" i="2"/>
  <c r="K182" i="2"/>
  <c r="J182" i="2"/>
  <c r="I182" i="2"/>
  <c r="H182" i="2"/>
  <c r="K181" i="2"/>
  <c r="J181" i="2"/>
  <c r="I181" i="2"/>
  <c r="H181" i="2"/>
  <c r="K180" i="2"/>
  <c r="J180" i="2"/>
  <c r="I180" i="2"/>
  <c r="H180" i="2"/>
  <c r="K179" i="2"/>
  <c r="J179" i="2"/>
  <c r="I179" i="2"/>
  <c r="H179" i="2"/>
  <c r="K178" i="2"/>
  <c r="J178" i="2"/>
  <c r="I178" i="2"/>
  <c r="H178" i="2"/>
  <c r="K177" i="2"/>
  <c r="J177" i="2"/>
  <c r="I177" i="2"/>
  <c r="H177" i="2"/>
  <c r="K176" i="2"/>
  <c r="J176" i="2"/>
  <c r="I176" i="2"/>
  <c r="H176" i="2"/>
  <c r="K175" i="2"/>
  <c r="J175" i="2"/>
  <c r="I175" i="2"/>
  <c r="H175" i="2"/>
  <c r="K174" i="2"/>
  <c r="J174" i="2"/>
  <c r="I174" i="2"/>
  <c r="H174" i="2"/>
  <c r="K173" i="2"/>
  <c r="J173" i="2"/>
  <c r="I173" i="2"/>
  <c r="H173" i="2"/>
  <c r="K172" i="2"/>
  <c r="J172" i="2"/>
  <c r="I172" i="2"/>
  <c r="H172" i="2"/>
  <c r="K171" i="2"/>
  <c r="J171" i="2"/>
  <c r="I171" i="2"/>
  <c r="H171" i="2"/>
  <c r="K170" i="2"/>
  <c r="J170" i="2"/>
  <c r="I170" i="2"/>
  <c r="H170" i="2"/>
  <c r="K169" i="2"/>
  <c r="J169" i="2"/>
  <c r="I169" i="2"/>
  <c r="H169" i="2"/>
  <c r="K168" i="2"/>
  <c r="J168" i="2"/>
  <c r="I168" i="2"/>
  <c r="H168" i="2"/>
  <c r="K167" i="2"/>
  <c r="J167" i="2"/>
  <c r="I167" i="2"/>
  <c r="H167" i="2"/>
  <c r="K166" i="2"/>
  <c r="J166" i="2"/>
  <c r="I166" i="2"/>
  <c r="H166" i="2"/>
  <c r="K165" i="2"/>
  <c r="J165" i="2"/>
  <c r="I165" i="2"/>
  <c r="H165" i="2"/>
  <c r="K164" i="2"/>
  <c r="J164" i="2"/>
  <c r="I164" i="2"/>
  <c r="H164" i="2"/>
  <c r="K163" i="2"/>
  <c r="J163" i="2"/>
  <c r="I163" i="2"/>
  <c r="H163" i="2"/>
  <c r="K162" i="2"/>
  <c r="J162" i="2"/>
  <c r="I162" i="2"/>
  <c r="H162" i="2"/>
  <c r="K161" i="2"/>
  <c r="J161" i="2"/>
  <c r="I161" i="2"/>
  <c r="H161" i="2"/>
  <c r="K160" i="2"/>
  <c r="J160" i="2"/>
  <c r="I160" i="2"/>
  <c r="H160" i="2"/>
  <c r="K159" i="2"/>
  <c r="J159" i="2"/>
  <c r="I159" i="2"/>
  <c r="H159" i="2"/>
  <c r="K158" i="2"/>
  <c r="J158" i="2"/>
  <c r="I158" i="2"/>
  <c r="H158" i="2"/>
  <c r="K157" i="2"/>
  <c r="J157" i="2"/>
  <c r="I157" i="2"/>
  <c r="H157" i="2"/>
  <c r="K156" i="2"/>
  <c r="J156" i="2"/>
  <c r="I156" i="2"/>
  <c r="H156" i="2"/>
  <c r="K155" i="2"/>
  <c r="J155" i="2"/>
  <c r="I155" i="2"/>
  <c r="H155" i="2"/>
  <c r="K154" i="2"/>
  <c r="J154" i="2"/>
  <c r="I154" i="2"/>
  <c r="H154" i="2"/>
  <c r="K153" i="2"/>
  <c r="J153" i="2"/>
  <c r="I153" i="2"/>
  <c r="H153" i="2"/>
  <c r="K152" i="2"/>
  <c r="J152" i="2"/>
  <c r="I152" i="2"/>
  <c r="H152" i="2"/>
  <c r="K151" i="2"/>
  <c r="J151" i="2"/>
  <c r="I151" i="2"/>
  <c r="H151" i="2"/>
  <c r="K150" i="2"/>
  <c r="J150" i="2"/>
  <c r="I150" i="2"/>
  <c r="H150" i="2"/>
  <c r="K149" i="2"/>
  <c r="J149" i="2"/>
  <c r="I149" i="2"/>
  <c r="H149" i="2"/>
  <c r="K148" i="2"/>
  <c r="J148" i="2"/>
  <c r="I148" i="2"/>
  <c r="H148" i="2"/>
  <c r="K147" i="2"/>
  <c r="J147" i="2"/>
  <c r="I147" i="2"/>
  <c r="H147" i="2"/>
  <c r="K146" i="2"/>
  <c r="J146" i="2"/>
  <c r="I146" i="2"/>
  <c r="H146" i="2"/>
  <c r="K145" i="2"/>
  <c r="J145" i="2"/>
  <c r="I145" i="2"/>
  <c r="H145" i="2"/>
  <c r="K144" i="2"/>
  <c r="J144" i="2"/>
  <c r="I144" i="2"/>
  <c r="H144" i="2"/>
  <c r="K143" i="2"/>
  <c r="J143" i="2"/>
  <c r="I143" i="2"/>
  <c r="H143" i="2"/>
  <c r="K142" i="2"/>
  <c r="J142" i="2"/>
  <c r="I142" i="2"/>
  <c r="H142" i="2"/>
  <c r="K141" i="2"/>
  <c r="J141" i="2"/>
  <c r="I141" i="2"/>
  <c r="H141" i="2"/>
  <c r="K140" i="2"/>
  <c r="J140" i="2"/>
  <c r="I140" i="2"/>
  <c r="H140" i="2"/>
  <c r="K139" i="2"/>
  <c r="J139" i="2"/>
  <c r="I139" i="2"/>
  <c r="H139" i="2"/>
  <c r="K138" i="2"/>
  <c r="J138" i="2"/>
  <c r="I138" i="2"/>
  <c r="H138" i="2"/>
  <c r="K137" i="2"/>
  <c r="J137" i="2"/>
  <c r="I137" i="2"/>
  <c r="H137" i="2"/>
  <c r="K136" i="2"/>
  <c r="J136" i="2"/>
  <c r="I136" i="2"/>
  <c r="H136" i="2"/>
  <c r="K135" i="2"/>
  <c r="J135" i="2"/>
  <c r="I135" i="2"/>
  <c r="H135" i="2"/>
  <c r="K134" i="2"/>
  <c r="J134" i="2"/>
  <c r="I134" i="2"/>
  <c r="H134" i="2"/>
  <c r="K133" i="2"/>
  <c r="J133" i="2"/>
  <c r="I133" i="2"/>
  <c r="H133" i="2"/>
  <c r="K132" i="2"/>
  <c r="J132" i="2"/>
  <c r="I132" i="2"/>
  <c r="H132" i="2"/>
  <c r="K131" i="2"/>
  <c r="J131" i="2"/>
  <c r="I131" i="2"/>
  <c r="H131" i="2"/>
  <c r="K130" i="2"/>
  <c r="J130" i="2"/>
  <c r="I130" i="2"/>
  <c r="H130" i="2"/>
  <c r="K129" i="2"/>
  <c r="J129" i="2"/>
  <c r="I129" i="2"/>
  <c r="H129" i="2"/>
  <c r="K128" i="2"/>
  <c r="J128" i="2"/>
  <c r="I128" i="2"/>
  <c r="H128" i="2"/>
  <c r="K127" i="2"/>
  <c r="J127" i="2"/>
  <c r="I127" i="2"/>
  <c r="H127" i="2"/>
  <c r="K126" i="2"/>
  <c r="J126" i="2"/>
  <c r="I126" i="2"/>
  <c r="H126" i="2"/>
  <c r="K125" i="2"/>
  <c r="J125" i="2"/>
  <c r="I125" i="2"/>
  <c r="H125" i="2"/>
  <c r="K124" i="2"/>
  <c r="J124" i="2"/>
  <c r="I124" i="2"/>
  <c r="H124" i="2"/>
  <c r="K123" i="2"/>
  <c r="J123" i="2"/>
  <c r="I123" i="2"/>
  <c r="H123" i="2"/>
  <c r="K122" i="2"/>
  <c r="J122" i="2"/>
  <c r="I122" i="2"/>
  <c r="H122" i="2"/>
  <c r="K121" i="2"/>
  <c r="J121" i="2"/>
  <c r="I121" i="2"/>
  <c r="H121" i="2"/>
  <c r="K120" i="2"/>
  <c r="J120" i="2"/>
  <c r="I120" i="2"/>
  <c r="H120" i="2"/>
  <c r="K119" i="2"/>
  <c r="J119" i="2"/>
  <c r="I119" i="2"/>
  <c r="H119" i="2"/>
  <c r="K118" i="2"/>
  <c r="J118" i="2"/>
  <c r="I118" i="2"/>
  <c r="H118" i="2"/>
  <c r="K117" i="2"/>
  <c r="J117" i="2"/>
  <c r="I117" i="2"/>
  <c r="H117" i="2"/>
  <c r="K116" i="2"/>
  <c r="J116" i="2"/>
  <c r="I116" i="2"/>
  <c r="H116" i="2"/>
  <c r="K115" i="2"/>
  <c r="J115" i="2"/>
  <c r="I115" i="2"/>
  <c r="H115" i="2"/>
  <c r="K114" i="2"/>
  <c r="J114" i="2"/>
  <c r="I114" i="2"/>
  <c r="H114" i="2"/>
  <c r="K113" i="2"/>
  <c r="J113" i="2"/>
  <c r="I113" i="2"/>
  <c r="H113" i="2"/>
  <c r="K112" i="2"/>
  <c r="J112" i="2"/>
  <c r="I112" i="2"/>
  <c r="H112" i="2"/>
  <c r="K111" i="2"/>
  <c r="J111" i="2"/>
  <c r="I111" i="2"/>
  <c r="H111" i="2"/>
  <c r="K110" i="2"/>
  <c r="J110" i="2"/>
  <c r="I110" i="2"/>
  <c r="H110" i="2"/>
  <c r="K109" i="2"/>
  <c r="J109" i="2"/>
  <c r="I109" i="2"/>
  <c r="H109" i="2"/>
  <c r="K108" i="2"/>
  <c r="J108" i="2"/>
  <c r="I108" i="2"/>
  <c r="H108" i="2"/>
  <c r="K107" i="2"/>
  <c r="J107" i="2"/>
  <c r="I107" i="2"/>
  <c r="H107" i="2"/>
  <c r="K106" i="2"/>
  <c r="J106" i="2"/>
  <c r="I106" i="2"/>
  <c r="H106" i="2"/>
  <c r="K105" i="2"/>
  <c r="J105" i="2"/>
  <c r="I105" i="2"/>
  <c r="H105" i="2"/>
  <c r="K104" i="2"/>
  <c r="J104" i="2"/>
  <c r="I104" i="2"/>
  <c r="H104" i="2"/>
  <c r="K103" i="2"/>
  <c r="J103" i="2"/>
  <c r="I103" i="2"/>
  <c r="H103" i="2"/>
  <c r="K102" i="2"/>
  <c r="J102" i="2"/>
  <c r="I102" i="2"/>
  <c r="H102" i="2"/>
  <c r="K101" i="2"/>
  <c r="J101" i="2"/>
  <c r="I101" i="2"/>
  <c r="H101" i="2"/>
  <c r="K100" i="2"/>
  <c r="J100" i="2"/>
  <c r="I100" i="2"/>
  <c r="H100" i="2"/>
  <c r="K99" i="2"/>
  <c r="J99" i="2"/>
  <c r="I99" i="2"/>
  <c r="H99" i="2"/>
  <c r="K98" i="2"/>
  <c r="J98" i="2"/>
  <c r="I98" i="2"/>
  <c r="H98" i="2"/>
  <c r="K97" i="2"/>
  <c r="J97" i="2"/>
  <c r="I97" i="2"/>
  <c r="H97" i="2"/>
  <c r="K96" i="2"/>
  <c r="J96" i="2"/>
  <c r="I96" i="2"/>
  <c r="H96" i="2"/>
  <c r="K95" i="2"/>
  <c r="J95" i="2"/>
  <c r="I95" i="2"/>
  <c r="H95" i="2"/>
  <c r="K94" i="2"/>
  <c r="J94" i="2"/>
  <c r="I94" i="2"/>
  <c r="H94" i="2"/>
  <c r="K93" i="2"/>
  <c r="J93" i="2"/>
  <c r="I93" i="2"/>
  <c r="H93" i="2"/>
  <c r="K92" i="2"/>
  <c r="J92" i="2"/>
  <c r="I92" i="2"/>
  <c r="H92" i="2"/>
  <c r="K91" i="2"/>
  <c r="J91" i="2"/>
  <c r="I91" i="2"/>
  <c r="H91" i="2"/>
  <c r="K90" i="2"/>
  <c r="J90" i="2"/>
  <c r="I90" i="2"/>
  <c r="H90" i="2"/>
  <c r="K89" i="2"/>
  <c r="J89" i="2"/>
  <c r="I89" i="2"/>
  <c r="H89" i="2"/>
  <c r="K88" i="2"/>
  <c r="J88" i="2"/>
  <c r="I88" i="2"/>
  <c r="H88" i="2"/>
  <c r="K87" i="2"/>
  <c r="J87" i="2"/>
  <c r="I87" i="2"/>
  <c r="H87" i="2"/>
  <c r="K86" i="2"/>
  <c r="J86" i="2"/>
  <c r="I86" i="2"/>
  <c r="H86" i="2"/>
  <c r="K85" i="2"/>
  <c r="J85" i="2"/>
  <c r="I85" i="2"/>
  <c r="H85" i="2"/>
  <c r="K84" i="2"/>
  <c r="J84" i="2"/>
  <c r="I84" i="2"/>
  <c r="H84" i="2"/>
  <c r="K83" i="2"/>
  <c r="J83" i="2"/>
  <c r="I83" i="2"/>
  <c r="H83" i="2"/>
  <c r="K82" i="2"/>
  <c r="J82" i="2"/>
  <c r="I82" i="2"/>
  <c r="H82" i="2"/>
  <c r="K81" i="2"/>
  <c r="J81" i="2"/>
  <c r="I81" i="2"/>
  <c r="H81" i="2"/>
  <c r="K80" i="2"/>
  <c r="J80" i="2"/>
  <c r="I80" i="2"/>
  <c r="H80" i="2"/>
  <c r="K79" i="2"/>
  <c r="J79" i="2"/>
  <c r="I79" i="2"/>
  <c r="H79" i="2"/>
  <c r="K78" i="2"/>
  <c r="J78" i="2"/>
  <c r="I78" i="2"/>
  <c r="H78" i="2"/>
  <c r="K77" i="2"/>
  <c r="J77" i="2"/>
  <c r="I77" i="2"/>
  <c r="H77" i="2"/>
  <c r="K76" i="2"/>
  <c r="J76" i="2"/>
  <c r="I76" i="2"/>
  <c r="H76" i="2"/>
  <c r="K75" i="2"/>
  <c r="J75" i="2"/>
  <c r="I75" i="2"/>
  <c r="H75" i="2"/>
  <c r="K74" i="2"/>
  <c r="J74" i="2"/>
  <c r="I74" i="2"/>
  <c r="H74" i="2"/>
  <c r="K73" i="2"/>
  <c r="J73" i="2"/>
  <c r="I73" i="2"/>
  <c r="H73" i="2"/>
  <c r="K72" i="2"/>
  <c r="J72" i="2"/>
  <c r="I72" i="2"/>
  <c r="H72" i="2"/>
  <c r="K71" i="2"/>
  <c r="J71" i="2"/>
  <c r="I71" i="2"/>
  <c r="H71" i="2"/>
  <c r="K70" i="2"/>
  <c r="J70" i="2"/>
  <c r="I70" i="2"/>
  <c r="H70" i="2"/>
  <c r="K69" i="2"/>
  <c r="J69" i="2"/>
  <c r="I69" i="2"/>
  <c r="H69" i="2"/>
  <c r="K68" i="2"/>
  <c r="J68" i="2"/>
  <c r="I68" i="2"/>
  <c r="H68" i="2"/>
  <c r="K67" i="2"/>
  <c r="J67" i="2"/>
  <c r="I67" i="2"/>
  <c r="H67" i="2"/>
  <c r="K66" i="2"/>
  <c r="J66" i="2"/>
  <c r="I66" i="2"/>
  <c r="H66" i="2"/>
  <c r="K65" i="2"/>
  <c r="J65" i="2"/>
  <c r="I65" i="2"/>
  <c r="H65" i="2"/>
  <c r="K64" i="2"/>
  <c r="J64" i="2"/>
  <c r="I64" i="2"/>
  <c r="H64" i="2"/>
  <c r="K63" i="2"/>
  <c r="J63" i="2"/>
  <c r="I63" i="2"/>
  <c r="H63" i="2"/>
  <c r="K62" i="2"/>
  <c r="J62" i="2"/>
  <c r="I62" i="2"/>
  <c r="H62" i="2"/>
  <c r="K61" i="2"/>
  <c r="J61" i="2"/>
  <c r="I61" i="2"/>
  <c r="H61" i="2"/>
  <c r="K60" i="2"/>
  <c r="J60" i="2"/>
  <c r="I60" i="2"/>
  <c r="H60" i="2"/>
  <c r="K59" i="2"/>
  <c r="J59" i="2"/>
  <c r="I59" i="2"/>
  <c r="H59" i="2"/>
  <c r="K58" i="2"/>
  <c r="J58" i="2"/>
  <c r="I58" i="2"/>
  <c r="H58" i="2"/>
  <c r="K57" i="2"/>
  <c r="J57" i="2"/>
  <c r="I57" i="2"/>
  <c r="H57" i="2"/>
  <c r="K56" i="2"/>
  <c r="J56" i="2"/>
  <c r="I56" i="2"/>
  <c r="H56" i="2"/>
  <c r="K55" i="2"/>
  <c r="J55" i="2"/>
  <c r="I55" i="2"/>
  <c r="H55" i="2"/>
  <c r="K54" i="2"/>
  <c r="J54" i="2"/>
  <c r="I54" i="2"/>
  <c r="H54" i="2"/>
  <c r="K53" i="2"/>
  <c r="J53" i="2"/>
  <c r="I53" i="2"/>
  <c r="H53" i="2"/>
  <c r="K52" i="2"/>
  <c r="J52" i="2"/>
  <c r="I52" i="2"/>
  <c r="H52" i="2"/>
  <c r="K51" i="2"/>
  <c r="J51" i="2"/>
  <c r="I51" i="2"/>
  <c r="H51" i="2"/>
  <c r="K50" i="2"/>
  <c r="J50" i="2"/>
  <c r="I50" i="2"/>
  <c r="H50" i="2"/>
  <c r="K49" i="2"/>
  <c r="J49" i="2"/>
  <c r="I49" i="2"/>
  <c r="H49" i="2"/>
  <c r="K48" i="2"/>
  <c r="J48" i="2"/>
  <c r="I48" i="2"/>
  <c r="H48" i="2"/>
  <c r="K47" i="2"/>
  <c r="J47" i="2"/>
  <c r="I47" i="2"/>
  <c r="H47" i="2"/>
  <c r="K46" i="2"/>
  <c r="J46" i="2"/>
  <c r="I46" i="2"/>
  <c r="H46" i="2"/>
  <c r="K45" i="2"/>
  <c r="J45" i="2"/>
  <c r="I45" i="2"/>
  <c r="H45" i="2"/>
  <c r="K44" i="2"/>
  <c r="J44" i="2"/>
  <c r="I44" i="2"/>
  <c r="H44" i="2"/>
  <c r="K43" i="2"/>
  <c r="J43" i="2"/>
  <c r="I43" i="2"/>
  <c r="H43" i="2"/>
  <c r="K42" i="2"/>
  <c r="J42" i="2"/>
  <c r="I42" i="2"/>
  <c r="H42" i="2"/>
  <c r="K41" i="2"/>
  <c r="J41" i="2"/>
  <c r="I41" i="2"/>
  <c r="H41" i="2"/>
  <c r="K40" i="2"/>
  <c r="J40" i="2"/>
  <c r="I40" i="2"/>
  <c r="H40" i="2"/>
  <c r="K39" i="2"/>
  <c r="J39" i="2"/>
  <c r="I39" i="2"/>
  <c r="H39" i="2"/>
  <c r="K38" i="2"/>
  <c r="J38" i="2"/>
  <c r="I38" i="2"/>
  <c r="H38" i="2"/>
  <c r="K37" i="2"/>
  <c r="J37" i="2"/>
  <c r="I37" i="2"/>
  <c r="H37" i="2"/>
  <c r="K36" i="2"/>
  <c r="J36" i="2"/>
  <c r="I36" i="2"/>
  <c r="H36" i="2"/>
  <c r="K35" i="2"/>
  <c r="J35" i="2"/>
  <c r="I35" i="2"/>
  <c r="H35" i="2"/>
  <c r="K34" i="2"/>
  <c r="J34" i="2"/>
  <c r="I34" i="2"/>
  <c r="H34" i="2"/>
  <c r="K33" i="2"/>
  <c r="J33" i="2"/>
  <c r="I33" i="2"/>
  <c r="H33" i="2"/>
  <c r="K32" i="2"/>
  <c r="J32" i="2"/>
  <c r="I32" i="2"/>
  <c r="H32" i="2"/>
  <c r="K31" i="2"/>
  <c r="J31" i="2"/>
  <c r="I31" i="2"/>
  <c r="H31" i="2"/>
  <c r="K30" i="2"/>
  <c r="J30" i="2"/>
  <c r="I30" i="2"/>
  <c r="H30" i="2"/>
  <c r="K29" i="2"/>
  <c r="J29" i="2"/>
  <c r="I29" i="2"/>
  <c r="H29" i="2"/>
  <c r="K28" i="2"/>
  <c r="J28" i="2"/>
  <c r="I28" i="2"/>
  <c r="H28" i="2"/>
  <c r="K27" i="2"/>
  <c r="J27" i="2"/>
  <c r="I27" i="2"/>
  <c r="H27" i="2"/>
  <c r="K26" i="2"/>
  <c r="J26" i="2"/>
  <c r="I26" i="2"/>
  <c r="H26" i="2"/>
  <c r="K25" i="2"/>
  <c r="J25" i="2"/>
  <c r="I25" i="2"/>
  <c r="H25" i="2"/>
  <c r="K24" i="2"/>
  <c r="J24" i="2"/>
  <c r="I24" i="2"/>
  <c r="H24" i="2"/>
  <c r="K23" i="2"/>
  <c r="J23" i="2"/>
  <c r="I23" i="2"/>
  <c r="H23" i="2"/>
  <c r="K22" i="2"/>
  <c r="J22" i="2"/>
  <c r="I22" i="2"/>
  <c r="H22" i="2"/>
  <c r="K21" i="2"/>
  <c r="J21" i="2"/>
  <c r="I21" i="2"/>
  <c r="H21" i="2"/>
  <c r="K20" i="2"/>
  <c r="J20" i="2"/>
  <c r="I20" i="2"/>
  <c r="H20" i="2"/>
  <c r="K19" i="2"/>
  <c r="J19" i="2"/>
  <c r="I19" i="2"/>
  <c r="H19" i="2"/>
  <c r="K18" i="2"/>
  <c r="J18" i="2"/>
  <c r="I18" i="2"/>
  <c r="H18" i="2"/>
  <c r="K17" i="2"/>
  <c r="J17" i="2"/>
  <c r="I17" i="2"/>
  <c r="H17" i="2"/>
  <c r="K16" i="2"/>
  <c r="J16" i="2"/>
  <c r="I16" i="2"/>
  <c r="H16" i="2"/>
  <c r="K15" i="2"/>
  <c r="J15" i="2"/>
  <c r="I15" i="2"/>
  <c r="H15" i="2"/>
  <c r="K14" i="2"/>
  <c r="J14" i="2"/>
  <c r="I14" i="2"/>
  <c r="H14" i="2"/>
  <c r="K13" i="2"/>
  <c r="J13" i="2"/>
  <c r="I13" i="2"/>
  <c r="H13" i="2"/>
  <c r="K12" i="2"/>
  <c r="J12" i="2"/>
  <c r="I12" i="2"/>
  <c r="H12" i="2"/>
  <c r="K11" i="2"/>
  <c r="J11" i="2"/>
  <c r="I11" i="2"/>
  <c r="H11" i="2"/>
  <c r="K10" i="2"/>
  <c r="J10" i="2"/>
  <c r="I10" i="2"/>
  <c r="H10" i="2"/>
  <c r="K9" i="2"/>
  <c r="J9" i="2"/>
  <c r="I9" i="2"/>
  <c r="H9" i="2"/>
  <c r="K8" i="2"/>
  <c r="J8" i="2"/>
  <c r="I8" i="2"/>
  <c r="H8" i="2"/>
  <c r="K7" i="2"/>
  <c r="J7" i="2"/>
  <c r="I7" i="2"/>
  <c r="H7" i="2"/>
  <c r="K6" i="2"/>
  <c r="J6" i="2"/>
  <c r="I6" i="2"/>
  <c r="H6" i="2"/>
  <c r="K5" i="2"/>
  <c r="J5" i="2"/>
  <c r="I5" i="2"/>
  <c r="H5" i="2"/>
  <c r="K4" i="2"/>
  <c r="J4" i="2"/>
  <c r="I4" i="2"/>
  <c r="H4" i="2"/>
  <c r="K3" i="2"/>
  <c r="J3" i="2"/>
  <c r="I3" i="2"/>
  <c r="H3" i="2"/>
  <c r="K2" i="2"/>
  <c r="J2" i="2"/>
  <c r="I2" i="2"/>
  <c r="H2" i="2"/>
  <c r="G8" i="4" l="1"/>
</calcChain>
</file>

<file path=xl/sharedStrings.xml><?xml version="1.0" encoding="utf-8"?>
<sst xmlns="http://schemas.openxmlformats.org/spreadsheetml/2006/main" count="639" uniqueCount="144">
  <si>
    <t>Checkout Funnel Analysis — Excel Cross-Check Template</t>
  </si>
  <si>
    <t>This workbook is an independent second implementation of the segment rollup and conversion-rate math -- not the primary analysis. Its job is to catch a bug in the BigQuery grouping logic or the Power BI DAX measures by recomputing the same numbers a different way and checking they agree.</t>
  </si>
  <si>
    <t>Color legend</t>
  </si>
  <si>
    <t>Blue text — The one example row showing expected format. Delete before pasting real data.</t>
  </si>
  <si>
    <t>Yellow fill — Paste your real BigQuery export starting here.</t>
  </si>
  <si>
    <t>Black text — Formulas. Do not overwrite.</t>
  </si>
  <si>
    <t>Sheets in this workbook</t>
  </si>
  <si>
    <t>Raw_CountryDevice — Paste sql/02 Query A output here. Rate columns (H:K) are pre-built formulas.</t>
  </si>
  <si>
    <t>BQ_DeviceOnly_Benchmark — Paste sql/02 Query C output here (independent, coarser-grain query).</t>
  </si>
  <si>
    <t>CrossCheck — SUMIFS + INDEX/MATCH reconcile the two sheets above. Difference columns must read 0.</t>
  </si>
  <si>
    <t>Full instructions: excel/README.md in the repo.</t>
  </si>
  <si>
    <t>country</t>
  </si>
  <si>
    <t>device_category</t>
  </si>
  <si>
    <t>total_sessions</t>
  </si>
  <si>
    <t>sessions_viewed_item</t>
  </si>
  <si>
    <t>sessions_added_to_cart</t>
  </si>
  <si>
    <t>sessions_began_checkout</t>
  </si>
  <si>
    <t>sessions_purchased</t>
  </si>
  <si>
    <t>view_to_cart_rate</t>
  </si>
  <si>
    <t>cart_to_checkout_rate</t>
  </si>
  <si>
    <t>checkout_to_purchase_rate</t>
  </si>
  <si>
    <t>overall_conversion_rate</t>
  </si>
  <si>
    <t>United States</t>
  </si>
  <si>
    <t>desktop</t>
  </si>
  <si>
    <t>mobile</t>
  </si>
  <si>
    <t>India</t>
  </si>
  <si>
    <t>Canada</t>
  </si>
  <si>
    <t>United Kingdom</t>
  </si>
  <si>
    <t>France</t>
  </si>
  <si>
    <t>Spain</t>
  </si>
  <si>
    <t>China</t>
  </si>
  <si>
    <t>tablet</t>
  </si>
  <si>
    <t>Taiwan</t>
  </si>
  <si>
    <t>Germany</t>
  </si>
  <si>
    <t>Italy</t>
  </si>
  <si>
    <t>Singapore</t>
  </si>
  <si>
    <t>Japan</t>
  </si>
  <si>
    <t>South Korea</t>
  </si>
  <si>
    <t>Netherlands</t>
  </si>
  <si>
    <t>Australia</t>
  </si>
  <si>
    <t>Turkey</t>
  </si>
  <si>
    <t>Mexico</t>
  </si>
  <si>
    <t>Brazil</t>
  </si>
  <si>
    <t>Indonesia</t>
  </si>
  <si>
    <t>(not set)</t>
  </si>
  <si>
    <t>Poland</t>
  </si>
  <si>
    <t>Russia</t>
  </si>
  <si>
    <t>Hong Kong</t>
  </si>
  <si>
    <t>Ireland</t>
  </si>
  <si>
    <t>Switzerland</t>
  </si>
  <si>
    <t>Sweden</t>
  </si>
  <si>
    <t>Vietnam</t>
  </si>
  <si>
    <t>Malaysia</t>
  </si>
  <si>
    <t>Philippines</t>
  </si>
  <si>
    <t>Peru</t>
  </si>
  <si>
    <t>Belgium</t>
  </si>
  <si>
    <t>Colombia</t>
  </si>
  <si>
    <t>Israel</t>
  </si>
  <si>
    <t>Thailand</t>
  </si>
  <si>
    <t>Portugal</t>
  </si>
  <si>
    <t>Pakistan</t>
  </si>
  <si>
    <t>Ukraine</t>
  </si>
  <si>
    <t>Greece</t>
  </si>
  <si>
    <t>Austria</t>
  </si>
  <si>
    <t>United Arab Emirates</t>
  </si>
  <si>
    <t>Denmark</t>
  </si>
  <si>
    <t>Argentina</t>
  </si>
  <si>
    <t>Egypt</t>
  </si>
  <si>
    <t>Czechia</t>
  </si>
  <si>
    <t>Romania</t>
  </si>
  <si>
    <t>Saudi Arabia</t>
  </si>
  <si>
    <t>Chile</t>
  </si>
  <si>
    <t>Bangladesh</t>
  </si>
  <si>
    <t>Sri Lanka</t>
  </si>
  <si>
    <t>Hungary</t>
  </si>
  <si>
    <t>Finland</t>
  </si>
  <si>
    <t>New Zealand</t>
  </si>
  <si>
    <t>South Africa</t>
  </si>
  <si>
    <t>Norway</t>
  </si>
  <si>
    <t>Nigeria</t>
  </si>
  <si>
    <t>Morocco</t>
  </si>
  <si>
    <t>Slovakia</t>
  </si>
  <si>
    <t>Croatia</t>
  </si>
  <si>
    <t>Bulgaria</t>
  </si>
  <si>
    <t>Iraq</t>
  </si>
  <si>
    <t>Serbia</t>
  </si>
  <si>
    <t>Ecuador</t>
  </si>
  <si>
    <t>Algeria</t>
  </si>
  <si>
    <t>Lithuania</t>
  </si>
  <si>
    <t>Dominican Republic</t>
  </si>
  <si>
    <t>Slovenia</t>
  </si>
  <si>
    <t>Cambodia</t>
  </si>
  <si>
    <t>Guatemala</t>
  </si>
  <si>
    <t>Kuwait</t>
  </si>
  <si>
    <t>Kazakhstan</t>
  </si>
  <si>
    <t>Kenya</t>
  </si>
  <si>
    <t>Tunisia</t>
  </si>
  <si>
    <t>Uruguay</t>
  </si>
  <si>
    <t>Belarus</t>
  </si>
  <si>
    <t>Qatar</t>
  </si>
  <si>
    <t>Puerto Rico</t>
  </si>
  <si>
    <t>Jordan</t>
  </si>
  <si>
    <t>North Macedonia</t>
  </si>
  <si>
    <t>Georgia</t>
  </si>
  <si>
    <t>El Salvador</t>
  </si>
  <si>
    <t>Costa Rica</t>
  </si>
  <si>
    <t>Latvia</t>
  </si>
  <si>
    <t>Panama</t>
  </si>
  <si>
    <t>Palestine</t>
  </si>
  <si>
    <t>Estonia</t>
  </si>
  <si>
    <t>Armenia</t>
  </si>
  <si>
    <t>Myanmar (Burma)</t>
  </si>
  <si>
    <t>Azerbaijan</t>
  </si>
  <si>
    <t>Cyprus</t>
  </si>
  <si>
    <t>Luxembourg</t>
  </si>
  <si>
    <t>Iceland</t>
  </si>
  <si>
    <t>Mongolia</t>
  </si>
  <si>
    <t>Nepal</t>
  </si>
  <si>
    <t>Albania</t>
  </si>
  <si>
    <t>Malta</t>
  </si>
  <si>
    <t>Honduras</t>
  </si>
  <si>
    <t>Jamaica</t>
  </si>
  <si>
    <t>Bahamas</t>
  </si>
  <si>
    <t>Venezuela</t>
  </si>
  <si>
    <t>Ghana</t>
  </si>
  <si>
    <t>Bahrain</t>
  </si>
  <si>
    <t>Macao</t>
  </si>
  <si>
    <t>Kosovo</t>
  </si>
  <si>
    <t>Bolivia</t>
  </si>
  <si>
    <t>Lebanon</t>
  </si>
  <si>
    <t>Paraguay</t>
  </si>
  <si>
    <t>Trinidad &amp; Tobago</t>
  </si>
  <si>
    <t>Oman</t>
  </si>
  <si>
    <t>Bosnia &amp; Herzegovina</t>
  </si>
  <si>
    <t>Reconciliation: Raw_CountryDevice rolled up via SUMIFS vs. the independently-queried BQ_DeviceOnly_Benchmark</t>
  </si>
  <si>
    <t>Difference columns should read 0 for every device category. A non-zero value that isn't just "benchmark not pasted yet" means the grouping logic in sql/02 Query A (or this SUMIFS formula) has a real bug -- find it before trusting the Power BI dashboard.</t>
  </si>
  <si>
    <t>sessions (SUMIFS)</t>
  </si>
  <si>
    <t>purchased (SUMIFS)</t>
  </si>
  <si>
    <t>sessions (benchmark)</t>
  </si>
  <si>
    <t>purchased (benchmark)</t>
  </si>
  <si>
    <t>difference: sessions</t>
  </si>
  <si>
    <t>difference: purchased</t>
  </si>
  <si>
    <t>smart tv</t>
  </si>
  <si>
    <t>If your real data has device categories beyond desktop/mobile/tablet/smart tv, add a row here (column A) with the same formula pattern.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</si>
</sst>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1"/>
      <name val="Arial"/>
      <charset val="1"/>
    </font>
    <font>
      <sz val="11"/>
      <color rgb="FF0000FF"/>
      <name val="Arial"/>
      <charset val="1"/>
    </font>
    <font>
      <i/>
      <sz val="10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9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2" fillId="2" borderId="0" xfId="0" applyFont="1" applyFill="1"/>
    <xf numFmtId="0" fontId="2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wrapText="1"/>
    </xf>
    <xf numFmtId="0" fontId="4" fillId="0" borderId="1" xfId="0" applyFont="1" applyBorder="1"/>
    <xf numFmtId="3" fontId="4" fillId="0" borderId="1" xfId="0" applyNumberFormat="1" applyFont="1" applyBorder="1"/>
    <xf numFmtId="164" fontId="4" fillId="0" borderId="1" xfId="0" applyNumberFormat="1" applyFont="1" applyBorder="1"/>
    <xf numFmtId="0" fontId="7" fillId="2" borderId="1" xfId="0" applyFont="1" applyFill="1" applyBorder="1"/>
    <xf numFmtId="3" fontId="7" fillId="2" borderId="1" xfId="0" applyNumberFormat="1" applyFont="1" applyFill="1" applyBorder="1"/>
    <xf numFmtId="164" fontId="7" fillId="0" borderId="1" xfId="0" applyNumberFormat="1" applyFont="1" applyBorder="1"/>
    <xf numFmtId="0" fontId="6" fillId="3" borderId="1" xfId="0" applyFont="1" applyFill="1" applyBorder="1" applyAlignment="1">
      <alignment horizontal="center"/>
    </xf>
    <xf numFmtId="0" fontId="7" fillId="0" borderId="1" xfId="0" applyFont="1" applyBorder="1"/>
    <xf numFmtId="3" fontId="7" fillId="0" borderId="1" xfId="0" applyNumberFormat="1" applyFont="1" applyBorder="1"/>
    <xf numFmtId="0" fontId="8" fillId="0" borderId="0" xfId="0" applyFont="1" applyAlignment="1">
      <alignment wrapText="1"/>
    </xf>
    <xf numFmtId="0" fontId="0" fillId="0" borderId="0" xfId="0"/>
    <xf numFmtId="0" fontId="3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5"/>
  <sheetViews>
    <sheetView showGridLines="0" tabSelected="1" zoomScaleNormal="100" workbookViewId="0"/>
  </sheetViews>
  <sheetFormatPr defaultColWidth="8.7109375" defaultRowHeight="15" x14ac:dyDescent="0.25"/>
  <cols>
    <col min="1" max="1" width="95" customWidth="1"/>
  </cols>
  <sheetData>
    <row r="1" spans="1:1" ht="17.45" customHeight="1" x14ac:dyDescent="0.25">
      <c r="A1" s="1" t="s">
        <v>0</v>
      </c>
    </row>
    <row r="3" spans="1:1" ht="45" customHeight="1" x14ac:dyDescent="0.25">
      <c r="A3" s="2" t="s">
        <v>1</v>
      </c>
    </row>
    <row r="5" spans="1:1" ht="15" customHeight="1" x14ac:dyDescent="0.25">
      <c r="A5" s="3" t="s">
        <v>2</v>
      </c>
    </row>
    <row r="6" spans="1:1" ht="15" customHeight="1" x14ac:dyDescent="0.25">
      <c r="A6" s="4" t="s">
        <v>3</v>
      </c>
    </row>
    <row r="7" spans="1:1" ht="15" customHeight="1" x14ac:dyDescent="0.25">
      <c r="A7" s="5" t="s">
        <v>4</v>
      </c>
    </row>
    <row r="8" spans="1:1" ht="15" customHeight="1" x14ac:dyDescent="0.25">
      <c r="A8" s="6" t="s">
        <v>5</v>
      </c>
    </row>
    <row r="10" spans="1:1" ht="15" customHeight="1" x14ac:dyDescent="0.25">
      <c r="A10" s="3" t="s">
        <v>6</v>
      </c>
    </row>
    <row r="11" spans="1:1" ht="15" customHeight="1" x14ac:dyDescent="0.25">
      <c r="A11" s="6" t="s">
        <v>7</v>
      </c>
    </row>
    <row r="12" spans="1:1" ht="15" customHeight="1" x14ac:dyDescent="0.25">
      <c r="A12" s="6" t="s">
        <v>8</v>
      </c>
    </row>
    <row r="13" spans="1:1" ht="15" customHeight="1" x14ac:dyDescent="0.25">
      <c r="A13" s="6" t="s">
        <v>9</v>
      </c>
    </row>
    <row r="15" spans="1:1" ht="15" customHeight="1" x14ac:dyDescent="0.25">
      <c r="A15" s="7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99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8" customWidth="1"/>
    <col min="2" max="2" width="16" customWidth="1"/>
    <col min="3" max="3" width="14" customWidth="1"/>
    <col min="4" max="6" width="16" customWidth="1"/>
    <col min="7" max="8" width="14" customWidth="1"/>
    <col min="9" max="9" width="16" customWidth="1"/>
    <col min="10" max="11" width="18" customWidth="1"/>
  </cols>
  <sheetData>
    <row r="1" spans="1:11" ht="26.85" customHeight="1" x14ac:dyDescent="0.25">
      <c r="A1" s="8" t="s">
        <v>11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</row>
    <row r="2" spans="1:11" ht="15" customHeight="1" x14ac:dyDescent="0.25">
      <c r="A2" s="9" t="s">
        <v>22</v>
      </c>
      <c r="B2" s="9" t="s">
        <v>23</v>
      </c>
      <c r="C2" s="10">
        <v>15000</v>
      </c>
      <c r="D2" s="10">
        <v>9000</v>
      </c>
      <c r="E2" s="10">
        <v>4200</v>
      </c>
      <c r="F2" s="10">
        <v>2100</v>
      </c>
      <c r="G2" s="10">
        <v>950</v>
      </c>
      <c r="H2" s="11">
        <f t="shared" ref="H2:H65" si="0">IFERROR(E2/D2,"")</f>
        <v>0.46666666666666667</v>
      </c>
      <c r="I2" s="11">
        <f t="shared" ref="I2:I65" si="1">IFERROR(F2/E2,"")</f>
        <v>0.5</v>
      </c>
      <c r="J2" s="11">
        <f t="shared" ref="J2:J65" si="2">IFERROR(G2/F2,"")</f>
        <v>0.45238095238095238</v>
      </c>
      <c r="K2" s="11">
        <f t="shared" ref="K2:K65" si="3">IFERROR(G2/C2,"")</f>
        <v>6.3333333333333339E-2</v>
      </c>
    </row>
    <row r="3" spans="1:11" ht="15" customHeight="1" x14ac:dyDescent="0.25">
      <c r="A3" s="12" t="s">
        <v>22</v>
      </c>
      <c r="B3" s="12" t="s">
        <v>23</v>
      </c>
      <c r="C3" s="13">
        <v>19799</v>
      </c>
      <c r="D3" s="13">
        <v>19729</v>
      </c>
      <c r="E3" s="13">
        <v>3875</v>
      </c>
      <c r="F3" s="13">
        <v>2856</v>
      </c>
      <c r="G3" s="13">
        <v>1222</v>
      </c>
      <c r="H3" s="14">
        <f t="shared" si="0"/>
        <v>0.19641137411931675</v>
      </c>
      <c r="I3" s="14">
        <f t="shared" si="1"/>
        <v>0.73703225806451611</v>
      </c>
      <c r="J3" s="14">
        <f t="shared" si="2"/>
        <v>0.42787114845938373</v>
      </c>
      <c r="K3" s="14">
        <f t="shared" si="3"/>
        <v>6.1720288903479976E-2</v>
      </c>
    </row>
    <row r="4" spans="1:11" ht="15" customHeight="1" x14ac:dyDescent="0.25">
      <c r="A4" s="12" t="s">
        <v>22</v>
      </c>
      <c r="B4" s="12" t="s">
        <v>24</v>
      </c>
      <c r="C4" s="13">
        <v>13500</v>
      </c>
      <c r="D4" s="13">
        <v>13441</v>
      </c>
      <c r="E4" s="13">
        <v>2722</v>
      </c>
      <c r="F4" s="13">
        <v>1948</v>
      </c>
      <c r="G4" s="13">
        <v>857</v>
      </c>
      <c r="H4" s="14">
        <f t="shared" si="0"/>
        <v>0.20251469384718399</v>
      </c>
      <c r="I4" s="14">
        <f t="shared" si="1"/>
        <v>0.71565025716385011</v>
      </c>
      <c r="J4" s="14">
        <f t="shared" si="2"/>
        <v>0.43993839835728954</v>
      </c>
      <c r="K4" s="14">
        <f t="shared" si="3"/>
        <v>6.3481481481481486E-2</v>
      </c>
    </row>
    <row r="5" spans="1:11" ht="15" customHeight="1" x14ac:dyDescent="0.25">
      <c r="A5" s="12" t="s">
        <v>25</v>
      </c>
      <c r="B5" s="12" t="s">
        <v>23</v>
      </c>
      <c r="C5" s="13">
        <v>4243</v>
      </c>
      <c r="D5" s="13">
        <v>4230</v>
      </c>
      <c r="E5" s="13">
        <v>804</v>
      </c>
      <c r="F5" s="13">
        <v>584</v>
      </c>
      <c r="G5" s="13">
        <v>255</v>
      </c>
      <c r="H5" s="14">
        <f t="shared" si="0"/>
        <v>0.1900709219858156</v>
      </c>
      <c r="I5" s="14">
        <f t="shared" si="1"/>
        <v>0.72636815920398012</v>
      </c>
      <c r="J5" s="14">
        <f t="shared" si="2"/>
        <v>0.43664383561643838</v>
      </c>
      <c r="K5" s="14">
        <f t="shared" si="3"/>
        <v>6.0098986566108882E-2</v>
      </c>
    </row>
    <row r="6" spans="1:11" ht="15" customHeight="1" x14ac:dyDescent="0.25">
      <c r="A6" s="12" t="s">
        <v>26</v>
      </c>
      <c r="B6" s="12" t="s">
        <v>23</v>
      </c>
      <c r="C6" s="13">
        <v>3367</v>
      </c>
      <c r="D6" s="13">
        <v>3357</v>
      </c>
      <c r="E6" s="13">
        <v>671</v>
      </c>
      <c r="F6" s="13">
        <v>474</v>
      </c>
      <c r="G6" s="13">
        <v>221</v>
      </c>
      <c r="H6" s="14">
        <f t="shared" si="0"/>
        <v>0.19988084599344652</v>
      </c>
      <c r="I6" s="14">
        <f t="shared" si="1"/>
        <v>0.70640834575260802</v>
      </c>
      <c r="J6" s="14">
        <f t="shared" si="2"/>
        <v>0.46624472573839665</v>
      </c>
      <c r="K6" s="14">
        <f t="shared" si="3"/>
        <v>6.5637065637065631E-2</v>
      </c>
    </row>
    <row r="7" spans="1:11" ht="15" customHeight="1" x14ac:dyDescent="0.25">
      <c r="A7" s="12" t="s">
        <v>25</v>
      </c>
      <c r="B7" s="12" t="s">
        <v>24</v>
      </c>
      <c r="C7" s="13">
        <v>2888</v>
      </c>
      <c r="D7" s="13">
        <v>2873</v>
      </c>
      <c r="E7" s="13">
        <v>564</v>
      </c>
      <c r="F7" s="13">
        <v>393</v>
      </c>
      <c r="G7" s="13">
        <v>181</v>
      </c>
      <c r="H7" s="14">
        <f t="shared" si="0"/>
        <v>0.19631047685346328</v>
      </c>
      <c r="I7" s="14">
        <f t="shared" si="1"/>
        <v>0.69680851063829785</v>
      </c>
      <c r="J7" s="14">
        <f t="shared" si="2"/>
        <v>0.46055979643765904</v>
      </c>
      <c r="K7" s="14">
        <f t="shared" si="3"/>
        <v>6.2673130193905816E-2</v>
      </c>
    </row>
    <row r="8" spans="1:11" ht="15" customHeight="1" x14ac:dyDescent="0.25">
      <c r="A8" s="12" t="s">
        <v>26</v>
      </c>
      <c r="B8" s="12" t="s">
        <v>24</v>
      </c>
      <c r="C8" s="13">
        <v>2358</v>
      </c>
      <c r="D8" s="13">
        <v>2352</v>
      </c>
      <c r="E8" s="13">
        <v>487</v>
      </c>
      <c r="F8" s="13">
        <v>370</v>
      </c>
      <c r="G8" s="13">
        <v>163</v>
      </c>
      <c r="H8" s="14">
        <f t="shared" si="0"/>
        <v>0.20705782312925169</v>
      </c>
      <c r="I8" s="14">
        <f t="shared" si="1"/>
        <v>0.75975359342915816</v>
      </c>
      <c r="J8" s="14">
        <f t="shared" si="2"/>
        <v>0.44054054054054054</v>
      </c>
      <c r="K8" s="14">
        <f t="shared" si="3"/>
        <v>6.9126378286683623E-2</v>
      </c>
    </row>
    <row r="9" spans="1:11" ht="15" customHeight="1" x14ac:dyDescent="0.25">
      <c r="A9" s="12" t="s">
        <v>27</v>
      </c>
      <c r="B9" s="12" t="s">
        <v>23</v>
      </c>
      <c r="C9" s="13">
        <v>1367</v>
      </c>
      <c r="D9" s="13">
        <v>1359</v>
      </c>
      <c r="E9" s="13">
        <v>257</v>
      </c>
      <c r="F9" s="13">
        <v>189</v>
      </c>
      <c r="G9" s="13">
        <v>83</v>
      </c>
      <c r="H9" s="14">
        <f t="shared" si="0"/>
        <v>0.18910963944076528</v>
      </c>
      <c r="I9" s="14">
        <f t="shared" si="1"/>
        <v>0.7354085603112841</v>
      </c>
      <c r="J9" s="14">
        <f t="shared" si="2"/>
        <v>0.43915343915343913</v>
      </c>
      <c r="K9" s="14">
        <f t="shared" si="3"/>
        <v>6.0716898317483538E-2</v>
      </c>
    </row>
    <row r="10" spans="1:11" ht="15" customHeight="1" x14ac:dyDescent="0.25">
      <c r="A10" s="12" t="s">
        <v>27</v>
      </c>
      <c r="B10" s="12" t="s">
        <v>24</v>
      </c>
      <c r="C10" s="13">
        <v>975</v>
      </c>
      <c r="D10" s="13">
        <v>971</v>
      </c>
      <c r="E10" s="13">
        <v>197</v>
      </c>
      <c r="F10" s="13">
        <v>132</v>
      </c>
      <c r="G10" s="13">
        <v>65</v>
      </c>
      <c r="H10" s="14">
        <f t="shared" si="0"/>
        <v>0.20288362512873326</v>
      </c>
      <c r="I10" s="14">
        <f t="shared" si="1"/>
        <v>0.67005076142131981</v>
      </c>
      <c r="J10" s="14">
        <f t="shared" si="2"/>
        <v>0.49242424242424243</v>
      </c>
      <c r="K10" s="14">
        <f t="shared" si="3"/>
        <v>6.6666666666666666E-2</v>
      </c>
    </row>
    <row r="11" spans="1:11" ht="15" customHeight="1" x14ac:dyDescent="0.25">
      <c r="A11" s="12" t="s">
        <v>28</v>
      </c>
      <c r="B11" s="12" t="s">
        <v>23</v>
      </c>
      <c r="C11" s="13">
        <v>926</v>
      </c>
      <c r="D11" s="13">
        <v>922</v>
      </c>
      <c r="E11" s="13">
        <v>192</v>
      </c>
      <c r="F11" s="13">
        <v>142</v>
      </c>
      <c r="G11" s="13">
        <v>69</v>
      </c>
      <c r="H11" s="14">
        <f t="shared" si="0"/>
        <v>0.20824295010845986</v>
      </c>
      <c r="I11" s="14">
        <f t="shared" si="1"/>
        <v>0.73958333333333337</v>
      </c>
      <c r="J11" s="14">
        <f t="shared" si="2"/>
        <v>0.4859154929577465</v>
      </c>
      <c r="K11" s="14">
        <f t="shared" si="3"/>
        <v>7.4514038876889843E-2</v>
      </c>
    </row>
    <row r="12" spans="1:11" ht="15" customHeight="1" x14ac:dyDescent="0.25">
      <c r="A12" s="12" t="s">
        <v>29</v>
      </c>
      <c r="B12" s="12" t="s">
        <v>23</v>
      </c>
      <c r="C12" s="13">
        <v>841</v>
      </c>
      <c r="D12" s="13">
        <v>840</v>
      </c>
      <c r="E12" s="13">
        <v>175</v>
      </c>
      <c r="F12" s="13">
        <v>130</v>
      </c>
      <c r="G12" s="13">
        <v>58</v>
      </c>
      <c r="H12" s="14">
        <f t="shared" si="0"/>
        <v>0.20833333333333334</v>
      </c>
      <c r="I12" s="14">
        <f t="shared" si="1"/>
        <v>0.74285714285714288</v>
      </c>
      <c r="J12" s="14">
        <f t="shared" si="2"/>
        <v>0.44615384615384618</v>
      </c>
      <c r="K12" s="14">
        <f t="shared" si="3"/>
        <v>6.8965517241379309E-2</v>
      </c>
    </row>
    <row r="13" spans="1:11" ht="15" customHeight="1" x14ac:dyDescent="0.25">
      <c r="A13" s="12" t="s">
        <v>30</v>
      </c>
      <c r="B13" s="12" t="s">
        <v>23</v>
      </c>
      <c r="C13" s="13">
        <v>781</v>
      </c>
      <c r="D13" s="13">
        <v>778</v>
      </c>
      <c r="E13" s="13">
        <v>171</v>
      </c>
      <c r="F13" s="13">
        <v>114</v>
      </c>
      <c r="G13" s="13">
        <v>49</v>
      </c>
      <c r="H13" s="14">
        <f t="shared" si="0"/>
        <v>0.21979434447300772</v>
      </c>
      <c r="I13" s="14">
        <f t="shared" si="1"/>
        <v>0.66666666666666663</v>
      </c>
      <c r="J13" s="14">
        <f t="shared" si="2"/>
        <v>0.42982456140350878</v>
      </c>
      <c r="K13" s="14">
        <f t="shared" si="3"/>
        <v>6.2740076824583865E-2</v>
      </c>
    </row>
    <row r="14" spans="1:11" ht="15" customHeight="1" x14ac:dyDescent="0.25">
      <c r="A14" s="12" t="s">
        <v>22</v>
      </c>
      <c r="B14" s="12" t="s">
        <v>31</v>
      </c>
      <c r="C14" s="13">
        <v>752</v>
      </c>
      <c r="D14" s="13">
        <v>751</v>
      </c>
      <c r="E14" s="13">
        <v>149</v>
      </c>
      <c r="F14" s="13">
        <v>94</v>
      </c>
      <c r="G14" s="13">
        <v>38</v>
      </c>
      <c r="H14" s="14">
        <f t="shared" si="0"/>
        <v>0.19840213049267644</v>
      </c>
      <c r="I14" s="14">
        <f t="shared" si="1"/>
        <v>0.63087248322147649</v>
      </c>
      <c r="J14" s="14">
        <f t="shared" si="2"/>
        <v>0.40425531914893614</v>
      </c>
      <c r="K14" s="14">
        <f t="shared" si="3"/>
        <v>5.0531914893617018E-2</v>
      </c>
    </row>
    <row r="15" spans="1:11" ht="15" customHeight="1" x14ac:dyDescent="0.25">
      <c r="A15" s="12" t="s">
        <v>32</v>
      </c>
      <c r="B15" s="12" t="s">
        <v>23</v>
      </c>
      <c r="C15" s="13">
        <v>751</v>
      </c>
      <c r="D15" s="13">
        <v>750</v>
      </c>
      <c r="E15" s="13">
        <v>150</v>
      </c>
      <c r="F15" s="13">
        <v>105</v>
      </c>
      <c r="G15" s="13">
        <v>39</v>
      </c>
      <c r="H15" s="14">
        <f t="shared" si="0"/>
        <v>0.2</v>
      </c>
      <c r="I15" s="14">
        <f t="shared" si="1"/>
        <v>0.7</v>
      </c>
      <c r="J15" s="14">
        <f t="shared" si="2"/>
        <v>0.37142857142857144</v>
      </c>
      <c r="K15" s="14">
        <f t="shared" si="3"/>
        <v>5.1930758988015982E-2</v>
      </c>
    </row>
    <row r="16" spans="1:11" ht="15" customHeight="1" x14ac:dyDescent="0.25">
      <c r="A16" s="12" t="s">
        <v>33</v>
      </c>
      <c r="B16" s="12" t="s">
        <v>23</v>
      </c>
      <c r="C16" s="13">
        <v>734</v>
      </c>
      <c r="D16" s="13">
        <v>730</v>
      </c>
      <c r="E16" s="13">
        <v>132</v>
      </c>
      <c r="F16" s="13">
        <v>112</v>
      </c>
      <c r="G16" s="13">
        <v>52</v>
      </c>
      <c r="H16" s="14">
        <f t="shared" si="0"/>
        <v>0.18082191780821918</v>
      </c>
      <c r="I16" s="14">
        <f t="shared" si="1"/>
        <v>0.84848484848484851</v>
      </c>
      <c r="J16" s="14">
        <f t="shared" si="2"/>
        <v>0.4642857142857143</v>
      </c>
      <c r="K16" s="14">
        <f t="shared" si="3"/>
        <v>7.0844686648501368E-2</v>
      </c>
    </row>
    <row r="17" spans="1:11" ht="15" customHeight="1" x14ac:dyDescent="0.25">
      <c r="A17" s="12" t="s">
        <v>34</v>
      </c>
      <c r="B17" s="12" t="s">
        <v>23</v>
      </c>
      <c r="C17" s="13">
        <v>657</v>
      </c>
      <c r="D17" s="13">
        <v>655</v>
      </c>
      <c r="E17" s="13">
        <v>128</v>
      </c>
      <c r="F17" s="13">
        <v>85</v>
      </c>
      <c r="G17" s="13">
        <v>31</v>
      </c>
      <c r="H17" s="14">
        <f t="shared" si="0"/>
        <v>0.19541984732824427</v>
      </c>
      <c r="I17" s="14">
        <f t="shared" si="1"/>
        <v>0.6640625</v>
      </c>
      <c r="J17" s="14">
        <f t="shared" si="2"/>
        <v>0.36470588235294116</v>
      </c>
      <c r="K17" s="14">
        <f t="shared" si="3"/>
        <v>4.7184170471841702E-2</v>
      </c>
    </row>
    <row r="18" spans="1:11" ht="15" customHeight="1" x14ac:dyDescent="0.25">
      <c r="A18" s="12" t="s">
        <v>35</v>
      </c>
      <c r="B18" s="12" t="s">
        <v>23</v>
      </c>
      <c r="C18" s="13">
        <v>626</v>
      </c>
      <c r="D18" s="13">
        <v>626</v>
      </c>
      <c r="E18" s="13">
        <v>133</v>
      </c>
      <c r="F18" s="13">
        <v>88</v>
      </c>
      <c r="G18" s="13">
        <v>34</v>
      </c>
      <c r="H18" s="14">
        <f t="shared" si="0"/>
        <v>0.21246006389776359</v>
      </c>
      <c r="I18" s="14">
        <f t="shared" si="1"/>
        <v>0.66165413533834583</v>
      </c>
      <c r="J18" s="14">
        <f t="shared" si="2"/>
        <v>0.38636363636363635</v>
      </c>
      <c r="K18" s="14">
        <f t="shared" si="3"/>
        <v>5.4313099041533544E-2</v>
      </c>
    </row>
    <row r="19" spans="1:11" ht="15" customHeight="1" x14ac:dyDescent="0.25">
      <c r="A19" s="12" t="s">
        <v>36</v>
      </c>
      <c r="B19" s="12" t="s">
        <v>23</v>
      </c>
      <c r="C19" s="13">
        <v>553</v>
      </c>
      <c r="D19" s="13">
        <v>550</v>
      </c>
      <c r="E19" s="13">
        <v>105</v>
      </c>
      <c r="F19" s="13">
        <v>83</v>
      </c>
      <c r="G19" s="13">
        <v>40</v>
      </c>
      <c r="H19" s="14">
        <f t="shared" si="0"/>
        <v>0.19090909090909092</v>
      </c>
      <c r="I19" s="14">
        <f t="shared" si="1"/>
        <v>0.79047619047619044</v>
      </c>
      <c r="J19" s="14">
        <f t="shared" si="2"/>
        <v>0.48192771084337349</v>
      </c>
      <c r="K19" s="14">
        <f t="shared" si="3"/>
        <v>7.2332730560578665E-2</v>
      </c>
    </row>
    <row r="20" spans="1:11" ht="15" customHeight="1" x14ac:dyDescent="0.25">
      <c r="A20" s="12" t="s">
        <v>28</v>
      </c>
      <c r="B20" s="12" t="s">
        <v>24</v>
      </c>
      <c r="C20" s="13">
        <v>545</v>
      </c>
      <c r="D20" s="13">
        <v>545</v>
      </c>
      <c r="E20" s="13">
        <v>95</v>
      </c>
      <c r="F20" s="13">
        <v>65</v>
      </c>
      <c r="G20" s="13">
        <v>32</v>
      </c>
      <c r="H20" s="14">
        <f t="shared" si="0"/>
        <v>0.1743119266055046</v>
      </c>
      <c r="I20" s="14">
        <f t="shared" si="1"/>
        <v>0.68421052631578949</v>
      </c>
      <c r="J20" s="14">
        <f t="shared" si="2"/>
        <v>0.49230769230769234</v>
      </c>
      <c r="K20" s="14">
        <f t="shared" si="3"/>
        <v>5.8715596330275233E-2</v>
      </c>
    </row>
    <row r="21" spans="1:11" ht="15" customHeight="1" x14ac:dyDescent="0.25">
      <c r="A21" s="12" t="s">
        <v>37</v>
      </c>
      <c r="B21" s="12" t="s">
        <v>23</v>
      </c>
      <c r="C21" s="13">
        <v>542</v>
      </c>
      <c r="D21" s="13">
        <v>537</v>
      </c>
      <c r="E21" s="13">
        <v>108</v>
      </c>
      <c r="F21" s="13">
        <v>76</v>
      </c>
      <c r="G21" s="13">
        <v>30</v>
      </c>
      <c r="H21" s="14">
        <f t="shared" si="0"/>
        <v>0.2011173184357542</v>
      </c>
      <c r="I21" s="14">
        <f t="shared" si="1"/>
        <v>0.70370370370370372</v>
      </c>
      <c r="J21" s="14">
        <f t="shared" si="2"/>
        <v>0.39473684210526316</v>
      </c>
      <c r="K21" s="14">
        <f t="shared" si="3"/>
        <v>5.5350553505535055E-2</v>
      </c>
    </row>
    <row r="22" spans="1:11" ht="15" customHeight="1" x14ac:dyDescent="0.25">
      <c r="A22" s="12" t="s">
        <v>32</v>
      </c>
      <c r="B22" s="12" t="s">
        <v>24</v>
      </c>
      <c r="C22" s="13">
        <v>534</v>
      </c>
      <c r="D22" s="13">
        <v>531</v>
      </c>
      <c r="E22" s="13">
        <v>104</v>
      </c>
      <c r="F22" s="13">
        <v>75</v>
      </c>
      <c r="G22" s="13">
        <v>39</v>
      </c>
      <c r="H22" s="14">
        <f t="shared" si="0"/>
        <v>0.19585687382297551</v>
      </c>
      <c r="I22" s="14">
        <f t="shared" si="1"/>
        <v>0.72115384615384615</v>
      </c>
      <c r="J22" s="14">
        <f t="shared" si="2"/>
        <v>0.52</v>
      </c>
      <c r="K22" s="14">
        <f t="shared" si="3"/>
        <v>7.3033707865168537E-2</v>
      </c>
    </row>
    <row r="23" spans="1:11" ht="15" customHeight="1" x14ac:dyDescent="0.25">
      <c r="A23" s="12" t="s">
        <v>30</v>
      </c>
      <c r="B23" s="12" t="s">
        <v>24</v>
      </c>
      <c r="C23" s="13">
        <v>533</v>
      </c>
      <c r="D23" s="13">
        <v>531</v>
      </c>
      <c r="E23" s="13">
        <v>103</v>
      </c>
      <c r="F23" s="13">
        <v>65</v>
      </c>
      <c r="G23" s="13">
        <v>28</v>
      </c>
      <c r="H23" s="14">
        <f t="shared" si="0"/>
        <v>0.19397363465160075</v>
      </c>
      <c r="I23" s="14">
        <f t="shared" si="1"/>
        <v>0.6310679611650486</v>
      </c>
      <c r="J23" s="14">
        <f t="shared" si="2"/>
        <v>0.43076923076923079</v>
      </c>
      <c r="K23" s="14">
        <f t="shared" si="3"/>
        <v>5.2532833020637902E-2</v>
      </c>
    </row>
    <row r="24" spans="1:11" ht="15" customHeight="1" x14ac:dyDescent="0.25">
      <c r="A24" s="12" t="s">
        <v>29</v>
      </c>
      <c r="B24" s="12" t="s">
        <v>24</v>
      </c>
      <c r="C24" s="13">
        <v>516</v>
      </c>
      <c r="D24" s="13">
        <v>516</v>
      </c>
      <c r="E24" s="13">
        <v>104</v>
      </c>
      <c r="F24" s="13">
        <v>97</v>
      </c>
      <c r="G24" s="13">
        <v>38</v>
      </c>
      <c r="H24" s="14">
        <f t="shared" si="0"/>
        <v>0.20155038759689922</v>
      </c>
      <c r="I24" s="14">
        <f t="shared" si="1"/>
        <v>0.93269230769230771</v>
      </c>
      <c r="J24" s="14">
        <f t="shared" si="2"/>
        <v>0.39175257731958762</v>
      </c>
      <c r="K24" s="14">
        <f t="shared" si="3"/>
        <v>7.3643410852713184E-2</v>
      </c>
    </row>
    <row r="25" spans="1:11" ht="15" customHeight="1" x14ac:dyDescent="0.25">
      <c r="A25" s="12" t="s">
        <v>38</v>
      </c>
      <c r="B25" s="12" t="s">
        <v>23</v>
      </c>
      <c r="C25" s="13">
        <v>514</v>
      </c>
      <c r="D25" s="13">
        <v>512</v>
      </c>
      <c r="E25" s="13">
        <v>93</v>
      </c>
      <c r="F25" s="13">
        <v>75</v>
      </c>
      <c r="G25" s="13">
        <v>28</v>
      </c>
      <c r="H25" s="14">
        <f t="shared" si="0"/>
        <v>0.181640625</v>
      </c>
      <c r="I25" s="14">
        <f t="shared" si="1"/>
        <v>0.80645161290322576</v>
      </c>
      <c r="J25" s="14">
        <f t="shared" si="2"/>
        <v>0.37333333333333335</v>
      </c>
      <c r="K25" s="14">
        <f t="shared" si="3"/>
        <v>5.4474708171206226E-2</v>
      </c>
    </row>
    <row r="26" spans="1:11" ht="15" customHeight="1" x14ac:dyDescent="0.25">
      <c r="A26" s="12" t="s">
        <v>33</v>
      </c>
      <c r="B26" s="12" t="s">
        <v>24</v>
      </c>
      <c r="C26" s="13">
        <v>492</v>
      </c>
      <c r="D26" s="13">
        <v>491</v>
      </c>
      <c r="E26" s="13">
        <v>96</v>
      </c>
      <c r="F26" s="13">
        <v>72</v>
      </c>
      <c r="G26" s="13">
        <v>26</v>
      </c>
      <c r="H26" s="14">
        <f t="shared" si="0"/>
        <v>0.1955193482688391</v>
      </c>
      <c r="I26" s="14">
        <f t="shared" si="1"/>
        <v>0.75</v>
      </c>
      <c r="J26" s="14">
        <f t="shared" si="2"/>
        <v>0.3611111111111111</v>
      </c>
      <c r="K26" s="14">
        <f t="shared" si="3"/>
        <v>5.2845528455284556E-2</v>
      </c>
    </row>
    <row r="27" spans="1:11" ht="15" customHeight="1" x14ac:dyDescent="0.25">
      <c r="A27" s="12" t="s">
        <v>36</v>
      </c>
      <c r="B27" s="12" t="s">
        <v>24</v>
      </c>
      <c r="C27" s="13">
        <v>452</v>
      </c>
      <c r="D27" s="13">
        <v>450</v>
      </c>
      <c r="E27" s="13">
        <v>85</v>
      </c>
      <c r="F27" s="13">
        <v>70</v>
      </c>
      <c r="G27" s="13">
        <v>35</v>
      </c>
      <c r="H27" s="14">
        <f t="shared" si="0"/>
        <v>0.18888888888888888</v>
      </c>
      <c r="I27" s="14">
        <f t="shared" si="1"/>
        <v>0.82352941176470584</v>
      </c>
      <c r="J27" s="14">
        <f t="shared" si="2"/>
        <v>0.5</v>
      </c>
      <c r="K27" s="14">
        <f t="shared" si="3"/>
        <v>7.7433628318584066E-2</v>
      </c>
    </row>
    <row r="28" spans="1:11" ht="15" customHeight="1" x14ac:dyDescent="0.25">
      <c r="A28" s="12" t="s">
        <v>39</v>
      </c>
      <c r="B28" s="12" t="s">
        <v>23</v>
      </c>
      <c r="C28" s="13">
        <v>448</v>
      </c>
      <c r="D28" s="13">
        <v>447</v>
      </c>
      <c r="E28" s="13">
        <v>98</v>
      </c>
      <c r="F28" s="13">
        <v>70</v>
      </c>
      <c r="G28" s="13">
        <v>29</v>
      </c>
      <c r="H28" s="14">
        <f t="shared" si="0"/>
        <v>0.21923937360178972</v>
      </c>
      <c r="I28" s="14">
        <f t="shared" si="1"/>
        <v>0.7142857142857143</v>
      </c>
      <c r="J28" s="14">
        <f t="shared" si="2"/>
        <v>0.41428571428571431</v>
      </c>
      <c r="K28" s="14">
        <f t="shared" si="3"/>
        <v>6.4732142857142863E-2</v>
      </c>
    </row>
    <row r="29" spans="1:11" ht="15" customHeight="1" x14ac:dyDescent="0.25">
      <c r="A29" s="12" t="s">
        <v>40</v>
      </c>
      <c r="B29" s="12" t="s">
        <v>23</v>
      </c>
      <c r="C29" s="13">
        <v>439</v>
      </c>
      <c r="D29" s="13">
        <v>437</v>
      </c>
      <c r="E29" s="13">
        <v>89</v>
      </c>
      <c r="F29" s="13">
        <v>58</v>
      </c>
      <c r="G29" s="13">
        <v>26</v>
      </c>
      <c r="H29" s="14">
        <f t="shared" si="0"/>
        <v>0.20366132723112129</v>
      </c>
      <c r="I29" s="14">
        <f t="shared" si="1"/>
        <v>0.651685393258427</v>
      </c>
      <c r="J29" s="14">
        <f t="shared" si="2"/>
        <v>0.44827586206896552</v>
      </c>
      <c r="K29" s="14">
        <f t="shared" si="3"/>
        <v>5.9225512528473807E-2</v>
      </c>
    </row>
    <row r="30" spans="1:11" ht="15" customHeight="1" x14ac:dyDescent="0.25">
      <c r="A30" s="12" t="s">
        <v>34</v>
      </c>
      <c r="B30" s="12" t="s">
        <v>24</v>
      </c>
      <c r="C30" s="13">
        <v>425</v>
      </c>
      <c r="D30" s="13">
        <v>425</v>
      </c>
      <c r="E30" s="13">
        <v>79</v>
      </c>
      <c r="F30" s="13">
        <v>55</v>
      </c>
      <c r="G30" s="13">
        <v>24</v>
      </c>
      <c r="H30" s="14">
        <f t="shared" si="0"/>
        <v>0.18588235294117647</v>
      </c>
      <c r="I30" s="14">
        <f t="shared" si="1"/>
        <v>0.69620253164556967</v>
      </c>
      <c r="J30" s="14">
        <f t="shared" si="2"/>
        <v>0.43636363636363634</v>
      </c>
      <c r="K30" s="14">
        <f t="shared" si="3"/>
        <v>5.647058823529412E-2</v>
      </c>
    </row>
    <row r="31" spans="1:11" ht="15" customHeight="1" x14ac:dyDescent="0.25">
      <c r="A31" s="12" t="s">
        <v>41</v>
      </c>
      <c r="B31" s="12" t="s">
        <v>23</v>
      </c>
      <c r="C31" s="13">
        <v>423</v>
      </c>
      <c r="D31" s="13">
        <v>421</v>
      </c>
      <c r="E31" s="13">
        <v>85</v>
      </c>
      <c r="F31" s="13">
        <v>55</v>
      </c>
      <c r="G31" s="13">
        <v>25</v>
      </c>
      <c r="H31" s="14">
        <f t="shared" si="0"/>
        <v>0.20190023752969122</v>
      </c>
      <c r="I31" s="14">
        <f t="shared" si="1"/>
        <v>0.6470588235294118</v>
      </c>
      <c r="J31" s="14">
        <f t="shared" si="2"/>
        <v>0.45454545454545453</v>
      </c>
      <c r="K31" s="14">
        <f t="shared" si="3"/>
        <v>5.9101654846335699E-2</v>
      </c>
    </row>
    <row r="32" spans="1:11" ht="15" customHeight="1" x14ac:dyDescent="0.25">
      <c r="A32" s="12" t="s">
        <v>42</v>
      </c>
      <c r="B32" s="12" t="s">
        <v>23</v>
      </c>
      <c r="C32" s="13">
        <v>405</v>
      </c>
      <c r="D32" s="13">
        <v>403</v>
      </c>
      <c r="E32" s="13">
        <v>74</v>
      </c>
      <c r="F32" s="13">
        <v>61</v>
      </c>
      <c r="G32" s="13">
        <v>23</v>
      </c>
      <c r="H32" s="14">
        <f t="shared" si="0"/>
        <v>0.18362282878411912</v>
      </c>
      <c r="I32" s="14">
        <f t="shared" si="1"/>
        <v>0.82432432432432434</v>
      </c>
      <c r="J32" s="14">
        <f t="shared" si="2"/>
        <v>0.37704918032786883</v>
      </c>
      <c r="K32" s="14">
        <f t="shared" si="3"/>
        <v>5.6790123456790124E-2</v>
      </c>
    </row>
    <row r="33" spans="1:11" ht="15" customHeight="1" x14ac:dyDescent="0.25">
      <c r="A33" s="12" t="s">
        <v>43</v>
      </c>
      <c r="B33" s="12" t="s">
        <v>23</v>
      </c>
      <c r="C33" s="13">
        <v>399</v>
      </c>
      <c r="D33" s="13">
        <v>396</v>
      </c>
      <c r="E33" s="13">
        <v>66</v>
      </c>
      <c r="F33" s="13">
        <v>52</v>
      </c>
      <c r="G33" s="13">
        <v>17</v>
      </c>
      <c r="H33" s="14">
        <f t="shared" si="0"/>
        <v>0.16666666666666666</v>
      </c>
      <c r="I33" s="14">
        <f t="shared" si="1"/>
        <v>0.78787878787878785</v>
      </c>
      <c r="J33" s="14">
        <f t="shared" si="2"/>
        <v>0.32692307692307693</v>
      </c>
      <c r="K33" s="14">
        <f t="shared" si="3"/>
        <v>4.2606516290726815E-2</v>
      </c>
    </row>
    <row r="34" spans="1:11" ht="15" customHeight="1" x14ac:dyDescent="0.25">
      <c r="A34" s="12" t="s">
        <v>35</v>
      </c>
      <c r="B34" s="12" t="s">
        <v>24</v>
      </c>
      <c r="C34" s="13">
        <v>395</v>
      </c>
      <c r="D34" s="13">
        <v>394</v>
      </c>
      <c r="E34" s="13">
        <v>54</v>
      </c>
      <c r="F34" s="13">
        <v>53</v>
      </c>
      <c r="G34" s="13">
        <v>20</v>
      </c>
      <c r="H34" s="14">
        <f t="shared" si="0"/>
        <v>0.13705583756345177</v>
      </c>
      <c r="I34" s="14">
        <f t="shared" si="1"/>
        <v>0.98148148148148151</v>
      </c>
      <c r="J34" s="14">
        <f t="shared" si="2"/>
        <v>0.37735849056603776</v>
      </c>
      <c r="K34" s="14">
        <f t="shared" si="3"/>
        <v>5.0632911392405063E-2</v>
      </c>
    </row>
    <row r="35" spans="1:11" ht="15" customHeight="1" x14ac:dyDescent="0.25">
      <c r="A35" s="12" t="s">
        <v>44</v>
      </c>
      <c r="B35" s="12" t="s">
        <v>23</v>
      </c>
      <c r="C35" s="13">
        <v>379</v>
      </c>
      <c r="D35" s="13">
        <v>378</v>
      </c>
      <c r="E35" s="13">
        <v>73</v>
      </c>
      <c r="F35" s="13">
        <v>51</v>
      </c>
      <c r="G35" s="13">
        <v>16</v>
      </c>
      <c r="H35" s="14">
        <f t="shared" si="0"/>
        <v>0.19312169312169311</v>
      </c>
      <c r="I35" s="14">
        <f t="shared" si="1"/>
        <v>0.69863013698630139</v>
      </c>
      <c r="J35" s="14">
        <f t="shared" si="2"/>
        <v>0.31372549019607843</v>
      </c>
      <c r="K35" s="14">
        <f t="shared" si="3"/>
        <v>4.221635883905013E-2</v>
      </c>
    </row>
    <row r="36" spans="1:11" ht="15" customHeight="1" x14ac:dyDescent="0.25">
      <c r="A36" s="12" t="s">
        <v>45</v>
      </c>
      <c r="B36" s="12" t="s">
        <v>23</v>
      </c>
      <c r="C36" s="13">
        <v>371</v>
      </c>
      <c r="D36" s="13">
        <v>369</v>
      </c>
      <c r="E36" s="13">
        <v>82</v>
      </c>
      <c r="F36" s="13">
        <v>57</v>
      </c>
      <c r="G36" s="13">
        <v>28</v>
      </c>
      <c r="H36" s="14">
        <f t="shared" si="0"/>
        <v>0.22222222222222221</v>
      </c>
      <c r="I36" s="14">
        <f t="shared" si="1"/>
        <v>0.69512195121951215</v>
      </c>
      <c r="J36" s="14">
        <f t="shared" si="2"/>
        <v>0.49122807017543857</v>
      </c>
      <c r="K36" s="14">
        <f t="shared" si="3"/>
        <v>7.5471698113207544E-2</v>
      </c>
    </row>
    <row r="37" spans="1:11" ht="15" customHeight="1" x14ac:dyDescent="0.25">
      <c r="A37" s="12" t="s">
        <v>37</v>
      </c>
      <c r="B37" s="12" t="s">
        <v>24</v>
      </c>
      <c r="C37" s="13">
        <v>367</v>
      </c>
      <c r="D37" s="13">
        <v>365</v>
      </c>
      <c r="E37" s="13">
        <v>71</v>
      </c>
      <c r="F37" s="13">
        <v>53</v>
      </c>
      <c r="G37" s="13">
        <v>22</v>
      </c>
      <c r="H37" s="14">
        <f t="shared" si="0"/>
        <v>0.19452054794520549</v>
      </c>
      <c r="I37" s="14">
        <f t="shared" si="1"/>
        <v>0.74647887323943662</v>
      </c>
      <c r="J37" s="14">
        <f t="shared" si="2"/>
        <v>0.41509433962264153</v>
      </c>
      <c r="K37" s="14">
        <f t="shared" si="3"/>
        <v>5.9945504087193457E-2</v>
      </c>
    </row>
    <row r="38" spans="1:11" ht="15" customHeight="1" x14ac:dyDescent="0.25">
      <c r="A38" s="12" t="s">
        <v>38</v>
      </c>
      <c r="B38" s="12" t="s">
        <v>24</v>
      </c>
      <c r="C38" s="13">
        <v>359</v>
      </c>
      <c r="D38" s="13">
        <v>358</v>
      </c>
      <c r="E38" s="13">
        <v>66</v>
      </c>
      <c r="F38" s="13">
        <v>53</v>
      </c>
      <c r="G38" s="13">
        <v>30</v>
      </c>
      <c r="H38" s="14">
        <f t="shared" si="0"/>
        <v>0.18435754189944134</v>
      </c>
      <c r="I38" s="14">
        <f t="shared" si="1"/>
        <v>0.80303030303030298</v>
      </c>
      <c r="J38" s="14">
        <f t="shared" si="2"/>
        <v>0.56603773584905659</v>
      </c>
      <c r="K38" s="14">
        <f t="shared" si="3"/>
        <v>8.3565459610027856E-2</v>
      </c>
    </row>
    <row r="39" spans="1:11" ht="15" customHeight="1" x14ac:dyDescent="0.25">
      <c r="A39" s="12" t="s">
        <v>46</v>
      </c>
      <c r="B39" s="12" t="s">
        <v>23</v>
      </c>
      <c r="C39" s="13">
        <v>320</v>
      </c>
      <c r="D39" s="13">
        <v>319</v>
      </c>
      <c r="E39" s="13">
        <v>58</v>
      </c>
      <c r="F39" s="13">
        <v>34</v>
      </c>
      <c r="G39" s="13">
        <v>17</v>
      </c>
      <c r="H39" s="14">
        <f t="shared" si="0"/>
        <v>0.18181818181818182</v>
      </c>
      <c r="I39" s="14">
        <f t="shared" si="1"/>
        <v>0.58620689655172409</v>
      </c>
      <c r="J39" s="14">
        <f t="shared" si="2"/>
        <v>0.5</v>
      </c>
      <c r="K39" s="14">
        <f t="shared" si="3"/>
        <v>5.3124999999999999E-2</v>
      </c>
    </row>
    <row r="40" spans="1:11" ht="15" customHeight="1" x14ac:dyDescent="0.25">
      <c r="A40" s="12" t="s">
        <v>47</v>
      </c>
      <c r="B40" s="12" t="s">
        <v>23</v>
      </c>
      <c r="C40" s="13">
        <v>319</v>
      </c>
      <c r="D40" s="13">
        <v>315</v>
      </c>
      <c r="E40" s="13">
        <v>56</v>
      </c>
      <c r="F40" s="13">
        <v>45</v>
      </c>
      <c r="G40" s="13">
        <v>22</v>
      </c>
      <c r="H40" s="14">
        <f t="shared" si="0"/>
        <v>0.17777777777777778</v>
      </c>
      <c r="I40" s="14">
        <f t="shared" si="1"/>
        <v>0.8035714285714286</v>
      </c>
      <c r="J40" s="14">
        <f t="shared" si="2"/>
        <v>0.48888888888888887</v>
      </c>
      <c r="K40" s="14">
        <f t="shared" si="3"/>
        <v>6.8965517241379309E-2</v>
      </c>
    </row>
    <row r="41" spans="1:11" ht="15" customHeight="1" x14ac:dyDescent="0.25">
      <c r="A41" s="12" t="s">
        <v>40</v>
      </c>
      <c r="B41" s="12" t="s">
        <v>24</v>
      </c>
      <c r="C41" s="13">
        <v>317</v>
      </c>
      <c r="D41" s="13">
        <v>315</v>
      </c>
      <c r="E41" s="13">
        <v>52</v>
      </c>
      <c r="F41" s="13">
        <v>54</v>
      </c>
      <c r="G41" s="13">
        <v>27</v>
      </c>
      <c r="H41" s="14">
        <f t="shared" si="0"/>
        <v>0.16507936507936508</v>
      </c>
      <c r="I41" s="14">
        <f t="shared" si="1"/>
        <v>1.0384615384615385</v>
      </c>
      <c r="J41" s="14">
        <f t="shared" si="2"/>
        <v>0.5</v>
      </c>
      <c r="K41" s="14">
        <f t="shared" si="3"/>
        <v>8.5173501577287064E-2</v>
      </c>
    </row>
    <row r="42" spans="1:11" ht="15" customHeight="1" x14ac:dyDescent="0.25">
      <c r="A42" s="12" t="s">
        <v>42</v>
      </c>
      <c r="B42" s="12" t="s">
        <v>24</v>
      </c>
      <c r="C42" s="13">
        <v>301</v>
      </c>
      <c r="D42" s="13">
        <v>300</v>
      </c>
      <c r="E42" s="13">
        <v>75</v>
      </c>
      <c r="F42" s="13">
        <v>60</v>
      </c>
      <c r="G42" s="13">
        <v>31</v>
      </c>
      <c r="H42" s="14">
        <f t="shared" si="0"/>
        <v>0.25</v>
      </c>
      <c r="I42" s="14">
        <f t="shared" si="1"/>
        <v>0.8</v>
      </c>
      <c r="J42" s="14">
        <f t="shared" si="2"/>
        <v>0.51666666666666672</v>
      </c>
      <c r="K42" s="14">
        <f t="shared" si="3"/>
        <v>0.10299003322259136</v>
      </c>
    </row>
    <row r="43" spans="1:11" ht="15" customHeight="1" x14ac:dyDescent="0.25">
      <c r="A43" s="12" t="s">
        <v>48</v>
      </c>
      <c r="B43" s="12" t="s">
        <v>23</v>
      </c>
      <c r="C43" s="13">
        <v>285</v>
      </c>
      <c r="D43" s="13">
        <v>285</v>
      </c>
      <c r="E43" s="13">
        <v>50</v>
      </c>
      <c r="F43" s="13">
        <v>33</v>
      </c>
      <c r="G43" s="13">
        <v>16</v>
      </c>
      <c r="H43" s="14">
        <f t="shared" si="0"/>
        <v>0.17543859649122806</v>
      </c>
      <c r="I43" s="14">
        <f t="shared" si="1"/>
        <v>0.66</v>
      </c>
      <c r="J43" s="14">
        <f t="shared" si="2"/>
        <v>0.48484848484848486</v>
      </c>
      <c r="K43" s="14">
        <f t="shared" si="3"/>
        <v>5.6140350877192984E-2</v>
      </c>
    </row>
    <row r="44" spans="1:11" ht="15" customHeight="1" x14ac:dyDescent="0.25">
      <c r="A44" s="12" t="s">
        <v>45</v>
      </c>
      <c r="B44" s="12" t="s">
        <v>24</v>
      </c>
      <c r="C44" s="13">
        <v>278</v>
      </c>
      <c r="D44" s="13">
        <v>277</v>
      </c>
      <c r="E44" s="13">
        <v>59</v>
      </c>
      <c r="F44" s="13">
        <v>55</v>
      </c>
      <c r="G44" s="13">
        <v>22</v>
      </c>
      <c r="H44" s="14">
        <f t="shared" si="0"/>
        <v>0.21299638989169675</v>
      </c>
      <c r="I44" s="14">
        <f t="shared" si="1"/>
        <v>0.93220338983050843</v>
      </c>
      <c r="J44" s="14">
        <f t="shared" si="2"/>
        <v>0.4</v>
      </c>
      <c r="K44" s="14">
        <f t="shared" si="3"/>
        <v>7.9136690647482008E-2</v>
      </c>
    </row>
    <row r="45" spans="1:11" ht="15" customHeight="1" x14ac:dyDescent="0.25">
      <c r="A45" s="12" t="s">
        <v>39</v>
      </c>
      <c r="B45" s="12" t="s">
        <v>24</v>
      </c>
      <c r="C45" s="13">
        <v>265</v>
      </c>
      <c r="D45" s="13">
        <v>263</v>
      </c>
      <c r="E45" s="13">
        <v>41</v>
      </c>
      <c r="F45" s="13">
        <v>32</v>
      </c>
      <c r="G45" s="13">
        <v>17</v>
      </c>
      <c r="H45" s="14">
        <f t="shared" si="0"/>
        <v>0.155893536121673</v>
      </c>
      <c r="I45" s="14">
        <f t="shared" si="1"/>
        <v>0.78048780487804881</v>
      </c>
      <c r="J45" s="14">
        <f t="shared" si="2"/>
        <v>0.53125</v>
      </c>
      <c r="K45" s="14">
        <f t="shared" si="3"/>
        <v>6.4150943396226415E-2</v>
      </c>
    </row>
    <row r="46" spans="1:11" ht="15" customHeight="1" x14ac:dyDescent="0.25">
      <c r="A46" s="12" t="s">
        <v>49</v>
      </c>
      <c r="B46" s="12" t="s">
        <v>23</v>
      </c>
      <c r="C46" s="13">
        <v>251</v>
      </c>
      <c r="D46" s="13">
        <v>251</v>
      </c>
      <c r="E46" s="13">
        <v>53</v>
      </c>
      <c r="F46" s="13">
        <v>31</v>
      </c>
      <c r="G46" s="13">
        <v>13</v>
      </c>
      <c r="H46" s="14">
        <f t="shared" si="0"/>
        <v>0.21115537848605578</v>
      </c>
      <c r="I46" s="14">
        <f t="shared" si="1"/>
        <v>0.58490566037735847</v>
      </c>
      <c r="J46" s="14">
        <f t="shared" si="2"/>
        <v>0.41935483870967744</v>
      </c>
      <c r="K46" s="14">
        <f t="shared" si="3"/>
        <v>5.1792828685258967E-2</v>
      </c>
    </row>
    <row r="47" spans="1:11" ht="15" customHeight="1" x14ac:dyDescent="0.25">
      <c r="A47" s="12" t="s">
        <v>43</v>
      </c>
      <c r="B47" s="12" t="s">
        <v>24</v>
      </c>
      <c r="C47" s="13">
        <v>247</v>
      </c>
      <c r="D47" s="13">
        <v>246</v>
      </c>
      <c r="E47" s="13">
        <v>39</v>
      </c>
      <c r="F47" s="13">
        <v>22</v>
      </c>
      <c r="G47" s="13">
        <v>9</v>
      </c>
      <c r="H47" s="14">
        <f t="shared" si="0"/>
        <v>0.15853658536585366</v>
      </c>
      <c r="I47" s="14">
        <f t="shared" si="1"/>
        <v>0.5641025641025641</v>
      </c>
      <c r="J47" s="14">
        <f t="shared" si="2"/>
        <v>0.40909090909090912</v>
      </c>
      <c r="K47" s="14">
        <f t="shared" si="3"/>
        <v>3.643724696356275E-2</v>
      </c>
    </row>
    <row r="48" spans="1:11" ht="15" customHeight="1" x14ac:dyDescent="0.25">
      <c r="A48" s="12" t="s">
        <v>41</v>
      </c>
      <c r="B48" s="12" t="s">
        <v>24</v>
      </c>
      <c r="C48" s="13">
        <v>237</v>
      </c>
      <c r="D48" s="13">
        <v>237</v>
      </c>
      <c r="E48" s="13">
        <v>46</v>
      </c>
      <c r="F48" s="13">
        <v>36</v>
      </c>
      <c r="G48" s="13">
        <v>14</v>
      </c>
      <c r="H48" s="14">
        <f t="shared" si="0"/>
        <v>0.1940928270042194</v>
      </c>
      <c r="I48" s="14">
        <f t="shared" si="1"/>
        <v>0.78260869565217395</v>
      </c>
      <c r="J48" s="14">
        <f t="shared" si="2"/>
        <v>0.3888888888888889</v>
      </c>
      <c r="K48" s="14">
        <f t="shared" si="3"/>
        <v>5.9071729957805907E-2</v>
      </c>
    </row>
    <row r="49" spans="1:11" ht="15" customHeight="1" x14ac:dyDescent="0.25">
      <c r="A49" s="12" t="s">
        <v>50</v>
      </c>
      <c r="B49" s="12" t="s">
        <v>23</v>
      </c>
      <c r="C49" s="13">
        <v>230</v>
      </c>
      <c r="D49" s="13">
        <v>229</v>
      </c>
      <c r="E49" s="13">
        <v>39</v>
      </c>
      <c r="F49" s="13">
        <v>30</v>
      </c>
      <c r="G49" s="13">
        <v>10</v>
      </c>
      <c r="H49" s="14">
        <f t="shared" si="0"/>
        <v>0.1703056768558952</v>
      </c>
      <c r="I49" s="14">
        <f t="shared" si="1"/>
        <v>0.76923076923076927</v>
      </c>
      <c r="J49" s="14">
        <f t="shared" si="2"/>
        <v>0.33333333333333331</v>
      </c>
      <c r="K49" s="14">
        <f t="shared" si="3"/>
        <v>4.3478260869565216E-2</v>
      </c>
    </row>
    <row r="50" spans="1:11" ht="15" customHeight="1" x14ac:dyDescent="0.25">
      <c r="A50" s="12" t="s">
        <v>51</v>
      </c>
      <c r="B50" s="12" t="s">
        <v>23</v>
      </c>
      <c r="C50" s="13">
        <v>226</v>
      </c>
      <c r="D50" s="13">
        <v>226</v>
      </c>
      <c r="E50" s="13">
        <v>33</v>
      </c>
      <c r="F50" s="13">
        <v>32</v>
      </c>
      <c r="G50" s="13">
        <v>16</v>
      </c>
      <c r="H50" s="14">
        <f t="shared" si="0"/>
        <v>0.14601769911504425</v>
      </c>
      <c r="I50" s="14">
        <f t="shared" si="1"/>
        <v>0.96969696969696972</v>
      </c>
      <c r="J50" s="14">
        <f t="shared" si="2"/>
        <v>0.5</v>
      </c>
      <c r="K50" s="14">
        <f t="shared" si="3"/>
        <v>7.0796460176991149E-2</v>
      </c>
    </row>
    <row r="51" spans="1:11" ht="15" customHeight="1" x14ac:dyDescent="0.25">
      <c r="A51" s="12" t="s">
        <v>52</v>
      </c>
      <c r="B51" s="12" t="s">
        <v>23</v>
      </c>
      <c r="C51" s="13">
        <v>220</v>
      </c>
      <c r="D51" s="13">
        <v>220</v>
      </c>
      <c r="E51" s="13">
        <v>51</v>
      </c>
      <c r="F51" s="13">
        <v>30</v>
      </c>
      <c r="G51" s="13">
        <v>17</v>
      </c>
      <c r="H51" s="14">
        <f t="shared" si="0"/>
        <v>0.23181818181818181</v>
      </c>
      <c r="I51" s="14">
        <f t="shared" si="1"/>
        <v>0.58823529411764708</v>
      </c>
      <c r="J51" s="14">
        <f t="shared" si="2"/>
        <v>0.56666666666666665</v>
      </c>
      <c r="K51" s="14">
        <f t="shared" si="3"/>
        <v>7.7272727272727271E-2</v>
      </c>
    </row>
    <row r="52" spans="1:11" ht="15" customHeight="1" x14ac:dyDescent="0.25">
      <c r="A52" s="12" t="s">
        <v>53</v>
      </c>
      <c r="B52" s="12" t="s">
        <v>23</v>
      </c>
      <c r="C52" s="13">
        <v>220</v>
      </c>
      <c r="D52" s="13">
        <v>218</v>
      </c>
      <c r="E52" s="13">
        <v>43</v>
      </c>
      <c r="F52" s="13">
        <v>29</v>
      </c>
      <c r="G52" s="13">
        <v>12</v>
      </c>
      <c r="H52" s="14">
        <f t="shared" si="0"/>
        <v>0.19724770642201836</v>
      </c>
      <c r="I52" s="14">
        <f t="shared" si="1"/>
        <v>0.67441860465116277</v>
      </c>
      <c r="J52" s="14">
        <f t="shared" si="2"/>
        <v>0.41379310344827586</v>
      </c>
      <c r="K52" s="14">
        <f t="shared" si="3"/>
        <v>5.4545454545454543E-2</v>
      </c>
    </row>
    <row r="53" spans="1:11" ht="15" customHeight="1" x14ac:dyDescent="0.25">
      <c r="A53" s="12" t="s">
        <v>44</v>
      </c>
      <c r="B53" s="12" t="s">
        <v>24</v>
      </c>
      <c r="C53" s="13">
        <v>218</v>
      </c>
      <c r="D53" s="13">
        <v>218</v>
      </c>
      <c r="E53" s="13">
        <v>36</v>
      </c>
      <c r="F53" s="13">
        <v>29</v>
      </c>
      <c r="G53" s="13">
        <v>18</v>
      </c>
      <c r="H53" s="14">
        <f t="shared" si="0"/>
        <v>0.16513761467889909</v>
      </c>
      <c r="I53" s="14">
        <f t="shared" si="1"/>
        <v>0.80555555555555558</v>
      </c>
      <c r="J53" s="14">
        <f t="shared" si="2"/>
        <v>0.62068965517241381</v>
      </c>
      <c r="K53" s="14">
        <f t="shared" si="3"/>
        <v>8.2568807339449546E-2</v>
      </c>
    </row>
    <row r="54" spans="1:11" ht="15" customHeight="1" x14ac:dyDescent="0.25">
      <c r="A54" s="12" t="s">
        <v>46</v>
      </c>
      <c r="B54" s="12" t="s">
        <v>24</v>
      </c>
      <c r="C54" s="13">
        <v>215</v>
      </c>
      <c r="D54" s="13">
        <v>214</v>
      </c>
      <c r="E54" s="13">
        <v>34</v>
      </c>
      <c r="F54" s="13">
        <v>37</v>
      </c>
      <c r="G54" s="13">
        <v>23</v>
      </c>
      <c r="H54" s="14">
        <f t="shared" si="0"/>
        <v>0.15887850467289719</v>
      </c>
      <c r="I54" s="14">
        <f t="shared" si="1"/>
        <v>1.088235294117647</v>
      </c>
      <c r="J54" s="14">
        <f t="shared" si="2"/>
        <v>0.6216216216216216</v>
      </c>
      <c r="K54" s="14">
        <f t="shared" si="3"/>
        <v>0.10697674418604651</v>
      </c>
    </row>
    <row r="55" spans="1:11" ht="15" customHeight="1" x14ac:dyDescent="0.25">
      <c r="A55" s="12" t="s">
        <v>54</v>
      </c>
      <c r="B55" s="12" t="s">
        <v>23</v>
      </c>
      <c r="C55" s="13">
        <v>211</v>
      </c>
      <c r="D55" s="13">
        <v>211</v>
      </c>
      <c r="E55" s="13">
        <v>41</v>
      </c>
      <c r="F55" s="13">
        <v>36</v>
      </c>
      <c r="G55" s="13">
        <v>14</v>
      </c>
      <c r="H55" s="14">
        <f t="shared" si="0"/>
        <v>0.19431279620853081</v>
      </c>
      <c r="I55" s="14">
        <f t="shared" si="1"/>
        <v>0.87804878048780488</v>
      </c>
      <c r="J55" s="14">
        <f t="shared" si="2"/>
        <v>0.3888888888888889</v>
      </c>
      <c r="K55" s="14">
        <f t="shared" si="3"/>
        <v>6.6350710900473939E-2</v>
      </c>
    </row>
    <row r="56" spans="1:11" ht="15" customHeight="1" x14ac:dyDescent="0.25">
      <c r="A56" s="12" t="s">
        <v>48</v>
      </c>
      <c r="B56" s="12" t="s">
        <v>24</v>
      </c>
      <c r="C56" s="13">
        <v>203</v>
      </c>
      <c r="D56" s="13">
        <v>203</v>
      </c>
      <c r="E56" s="13">
        <v>44</v>
      </c>
      <c r="F56" s="13">
        <v>32</v>
      </c>
      <c r="G56" s="13">
        <v>16</v>
      </c>
      <c r="H56" s="14">
        <f t="shared" si="0"/>
        <v>0.21674876847290642</v>
      </c>
      <c r="I56" s="14">
        <f t="shared" si="1"/>
        <v>0.72727272727272729</v>
      </c>
      <c r="J56" s="14">
        <f t="shared" si="2"/>
        <v>0.5</v>
      </c>
      <c r="K56" s="14">
        <f t="shared" si="3"/>
        <v>7.8817733990147784E-2</v>
      </c>
    </row>
    <row r="57" spans="1:11" ht="15" customHeight="1" x14ac:dyDescent="0.25">
      <c r="A57" s="12" t="s">
        <v>55</v>
      </c>
      <c r="B57" s="12" t="s">
        <v>23</v>
      </c>
      <c r="C57" s="13">
        <v>201</v>
      </c>
      <c r="D57" s="13">
        <v>201</v>
      </c>
      <c r="E57" s="13">
        <v>54</v>
      </c>
      <c r="F57" s="13">
        <v>27</v>
      </c>
      <c r="G57" s="13">
        <v>8</v>
      </c>
      <c r="H57" s="14">
        <f t="shared" si="0"/>
        <v>0.26865671641791045</v>
      </c>
      <c r="I57" s="14">
        <f t="shared" si="1"/>
        <v>0.5</v>
      </c>
      <c r="J57" s="14">
        <f t="shared" si="2"/>
        <v>0.29629629629629628</v>
      </c>
      <c r="K57" s="14">
        <f t="shared" si="3"/>
        <v>3.9800995024875621E-2</v>
      </c>
    </row>
    <row r="58" spans="1:11" ht="15" customHeight="1" x14ac:dyDescent="0.25">
      <c r="A58" s="12" t="s">
        <v>50</v>
      </c>
      <c r="B58" s="12" t="s">
        <v>24</v>
      </c>
      <c r="C58" s="13">
        <v>197</v>
      </c>
      <c r="D58" s="13">
        <v>195</v>
      </c>
      <c r="E58" s="13">
        <v>42</v>
      </c>
      <c r="F58" s="13">
        <v>31</v>
      </c>
      <c r="G58" s="13">
        <v>13</v>
      </c>
      <c r="H58" s="14">
        <f t="shared" si="0"/>
        <v>0.2153846153846154</v>
      </c>
      <c r="I58" s="14">
        <f t="shared" si="1"/>
        <v>0.73809523809523814</v>
      </c>
      <c r="J58" s="14">
        <f t="shared" si="2"/>
        <v>0.41935483870967744</v>
      </c>
      <c r="K58" s="14">
        <f t="shared" si="3"/>
        <v>6.5989847715736044E-2</v>
      </c>
    </row>
    <row r="59" spans="1:11" ht="15" customHeight="1" x14ac:dyDescent="0.25">
      <c r="A59" s="12" t="s">
        <v>56</v>
      </c>
      <c r="B59" s="12" t="s">
        <v>23</v>
      </c>
      <c r="C59" s="13">
        <v>191</v>
      </c>
      <c r="D59" s="13">
        <v>189</v>
      </c>
      <c r="E59" s="13">
        <v>43</v>
      </c>
      <c r="F59" s="13">
        <v>29</v>
      </c>
      <c r="G59" s="13">
        <v>15</v>
      </c>
      <c r="H59" s="14">
        <f t="shared" si="0"/>
        <v>0.2275132275132275</v>
      </c>
      <c r="I59" s="14">
        <f t="shared" si="1"/>
        <v>0.67441860465116277</v>
      </c>
      <c r="J59" s="14">
        <f t="shared" si="2"/>
        <v>0.51724137931034486</v>
      </c>
      <c r="K59" s="14">
        <f t="shared" si="3"/>
        <v>7.8534031413612565E-2</v>
      </c>
    </row>
    <row r="60" spans="1:11" ht="15" customHeight="1" x14ac:dyDescent="0.25">
      <c r="A60" s="12" t="s">
        <v>57</v>
      </c>
      <c r="B60" s="12" t="s">
        <v>23</v>
      </c>
      <c r="C60" s="13">
        <v>187</v>
      </c>
      <c r="D60" s="13">
        <v>187</v>
      </c>
      <c r="E60" s="13">
        <v>36</v>
      </c>
      <c r="F60" s="13">
        <v>27</v>
      </c>
      <c r="G60" s="13">
        <v>12</v>
      </c>
      <c r="H60" s="14">
        <f t="shared" si="0"/>
        <v>0.19251336898395721</v>
      </c>
      <c r="I60" s="14">
        <f t="shared" si="1"/>
        <v>0.75</v>
      </c>
      <c r="J60" s="14">
        <f t="shared" si="2"/>
        <v>0.44444444444444442</v>
      </c>
      <c r="K60" s="14">
        <f t="shared" si="3"/>
        <v>6.4171122994652413E-2</v>
      </c>
    </row>
    <row r="61" spans="1:11" ht="15" customHeight="1" x14ac:dyDescent="0.25">
      <c r="A61" s="12" t="s">
        <v>58</v>
      </c>
      <c r="B61" s="12" t="s">
        <v>23</v>
      </c>
      <c r="C61" s="13">
        <v>180</v>
      </c>
      <c r="D61" s="13">
        <v>178</v>
      </c>
      <c r="E61" s="13">
        <v>24</v>
      </c>
      <c r="F61" s="13">
        <v>23</v>
      </c>
      <c r="G61" s="13">
        <v>10</v>
      </c>
      <c r="H61" s="14">
        <f t="shared" si="0"/>
        <v>0.1348314606741573</v>
      </c>
      <c r="I61" s="14">
        <f t="shared" si="1"/>
        <v>0.95833333333333337</v>
      </c>
      <c r="J61" s="14">
        <f t="shared" si="2"/>
        <v>0.43478260869565216</v>
      </c>
      <c r="K61" s="14">
        <f t="shared" si="3"/>
        <v>5.5555555555555552E-2</v>
      </c>
    </row>
    <row r="62" spans="1:11" ht="15" customHeight="1" x14ac:dyDescent="0.25">
      <c r="A62" s="12" t="s">
        <v>47</v>
      </c>
      <c r="B62" s="12" t="s">
        <v>24</v>
      </c>
      <c r="C62" s="13">
        <v>179</v>
      </c>
      <c r="D62" s="13">
        <v>179</v>
      </c>
      <c r="E62" s="13">
        <v>29</v>
      </c>
      <c r="F62" s="13">
        <v>22</v>
      </c>
      <c r="G62" s="13">
        <v>9</v>
      </c>
      <c r="H62" s="14">
        <f t="shared" si="0"/>
        <v>0.16201117318435754</v>
      </c>
      <c r="I62" s="14">
        <f t="shared" si="1"/>
        <v>0.75862068965517238</v>
      </c>
      <c r="J62" s="14">
        <f t="shared" si="2"/>
        <v>0.40909090909090912</v>
      </c>
      <c r="K62" s="14">
        <f t="shared" si="3"/>
        <v>5.027932960893855E-2</v>
      </c>
    </row>
    <row r="63" spans="1:11" ht="15" customHeight="1" x14ac:dyDescent="0.25">
      <c r="A63" s="12" t="s">
        <v>59</v>
      </c>
      <c r="B63" s="12" t="s">
        <v>23</v>
      </c>
      <c r="C63" s="13">
        <v>172</v>
      </c>
      <c r="D63" s="13">
        <v>171</v>
      </c>
      <c r="E63" s="13">
        <v>26</v>
      </c>
      <c r="F63" s="13">
        <v>19</v>
      </c>
      <c r="G63" s="13">
        <v>8</v>
      </c>
      <c r="H63" s="14">
        <f t="shared" si="0"/>
        <v>0.15204678362573099</v>
      </c>
      <c r="I63" s="14">
        <f t="shared" si="1"/>
        <v>0.73076923076923073</v>
      </c>
      <c r="J63" s="14">
        <f t="shared" si="2"/>
        <v>0.42105263157894735</v>
      </c>
      <c r="K63" s="14">
        <f t="shared" si="3"/>
        <v>4.6511627906976744E-2</v>
      </c>
    </row>
    <row r="64" spans="1:11" ht="15" customHeight="1" x14ac:dyDescent="0.25">
      <c r="A64" s="12" t="s">
        <v>60</v>
      </c>
      <c r="B64" s="12" t="s">
        <v>23</v>
      </c>
      <c r="C64" s="13">
        <v>171</v>
      </c>
      <c r="D64" s="13">
        <v>170</v>
      </c>
      <c r="E64" s="13">
        <v>24</v>
      </c>
      <c r="F64" s="13">
        <v>28</v>
      </c>
      <c r="G64" s="13">
        <v>9</v>
      </c>
      <c r="H64" s="14">
        <f t="shared" si="0"/>
        <v>0.14117647058823529</v>
      </c>
      <c r="I64" s="14">
        <f t="shared" si="1"/>
        <v>1.1666666666666667</v>
      </c>
      <c r="J64" s="14">
        <f t="shared" si="2"/>
        <v>0.32142857142857145</v>
      </c>
      <c r="K64" s="14">
        <f t="shared" si="3"/>
        <v>5.2631578947368418E-2</v>
      </c>
    </row>
    <row r="65" spans="1:11" ht="15" customHeight="1" x14ac:dyDescent="0.25">
      <c r="A65" s="12" t="s">
        <v>56</v>
      </c>
      <c r="B65" s="12" t="s">
        <v>24</v>
      </c>
      <c r="C65" s="13">
        <v>165</v>
      </c>
      <c r="D65" s="13">
        <v>162</v>
      </c>
      <c r="E65" s="13">
        <v>36</v>
      </c>
      <c r="F65" s="13">
        <v>27</v>
      </c>
      <c r="G65" s="13">
        <v>16</v>
      </c>
      <c r="H65" s="14">
        <f t="shared" si="0"/>
        <v>0.22222222222222221</v>
      </c>
      <c r="I65" s="14">
        <f t="shared" si="1"/>
        <v>0.75</v>
      </c>
      <c r="J65" s="14">
        <f t="shared" si="2"/>
        <v>0.59259259259259256</v>
      </c>
      <c r="K65" s="14">
        <f t="shared" si="3"/>
        <v>9.696969696969697E-2</v>
      </c>
    </row>
    <row r="66" spans="1:11" ht="15" customHeight="1" x14ac:dyDescent="0.25">
      <c r="A66" s="12" t="s">
        <v>25</v>
      </c>
      <c r="B66" s="12" t="s">
        <v>31</v>
      </c>
      <c r="C66" s="13">
        <v>161</v>
      </c>
      <c r="D66" s="13">
        <v>161</v>
      </c>
      <c r="E66" s="13">
        <v>23</v>
      </c>
      <c r="F66" s="13">
        <v>26</v>
      </c>
      <c r="G66" s="13">
        <v>13</v>
      </c>
      <c r="H66" s="14">
        <f t="shared" ref="H66:H129" si="4">IFERROR(E66/D66,"")</f>
        <v>0.14285714285714285</v>
      </c>
      <c r="I66" s="14">
        <f t="shared" ref="I66:I129" si="5">IFERROR(F66/E66,"")</f>
        <v>1.1304347826086956</v>
      </c>
      <c r="J66" s="14">
        <f t="shared" ref="J66:J129" si="6">IFERROR(G66/F66,"")</f>
        <v>0.5</v>
      </c>
      <c r="K66" s="14">
        <f t="shared" ref="K66:K129" si="7">IFERROR(G66/C66,"")</f>
        <v>8.0745341614906832E-2</v>
      </c>
    </row>
    <row r="67" spans="1:11" ht="15" customHeight="1" x14ac:dyDescent="0.25">
      <c r="A67" s="12" t="s">
        <v>61</v>
      </c>
      <c r="B67" s="12" t="s">
        <v>23</v>
      </c>
      <c r="C67" s="13">
        <v>161</v>
      </c>
      <c r="D67" s="13">
        <v>160</v>
      </c>
      <c r="E67" s="13">
        <v>43</v>
      </c>
      <c r="F67" s="13">
        <v>21</v>
      </c>
      <c r="G67" s="13">
        <v>5</v>
      </c>
      <c r="H67" s="14">
        <f t="shared" si="4"/>
        <v>0.26874999999999999</v>
      </c>
      <c r="I67" s="14">
        <f t="shared" si="5"/>
        <v>0.48837209302325579</v>
      </c>
      <c r="J67" s="14">
        <f t="shared" si="6"/>
        <v>0.23809523809523808</v>
      </c>
      <c r="K67" s="14">
        <f t="shared" si="7"/>
        <v>3.1055900621118012E-2</v>
      </c>
    </row>
    <row r="68" spans="1:11" ht="15" customHeight="1" x14ac:dyDescent="0.25">
      <c r="A68" s="12" t="s">
        <v>54</v>
      </c>
      <c r="B68" s="12" t="s">
        <v>24</v>
      </c>
      <c r="C68" s="13">
        <v>155</v>
      </c>
      <c r="D68" s="13">
        <v>155</v>
      </c>
      <c r="E68" s="13">
        <v>31</v>
      </c>
      <c r="F68" s="13">
        <v>22</v>
      </c>
      <c r="G68" s="13">
        <v>10</v>
      </c>
      <c r="H68" s="14">
        <f t="shared" si="4"/>
        <v>0.2</v>
      </c>
      <c r="I68" s="14">
        <f t="shared" si="5"/>
        <v>0.70967741935483875</v>
      </c>
      <c r="J68" s="14">
        <f t="shared" si="6"/>
        <v>0.45454545454545453</v>
      </c>
      <c r="K68" s="14">
        <f t="shared" si="7"/>
        <v>6.4516129032258063E-2</v>
      </c>
    </row>
    <row r="69" spans="1:11" ht="15" customHeight="1" x14ac:dyDescent="0.25">
      <c r="A69" s="12" t="s">
        <v>53</v>
      </c>
      <c r="B69" s="12" t="s">
        <v>24</v>
      </c>
      <c r="C69" s="13">
        <v>154</v>
      </c>
      <c r="D69" s="13">
        <v>153</v>
      </c>
      <c r="E69" s="13">
        <v>21</v>
      </c>
      <c r="F69" s="13">
        <v>22</v>
      </c>
      <c r="G69" s="13">
        <v>9</v>
      </c>
      <c r="H69" s="14">
        <f t="shared" si="4"/>
        <v>0.13725490196078433</v>
      </c>
      <c r="I69" s="14">
        <f t="shared" si="5"/>
        <v>1.0476190476190477</v>
      </c>
      <c r="J69" s="14">
        <f t="shared" si="6"/>
        <v>0.40909090909090912</v>
      </c>
      <c r="K69" s="14">
        <f t="shared" si="7"/>
        <v>5.844155844155844E-2</v>
      </c>
    </row>
    <row r="70" spans="1:11" ht="15" customHeight="1" x14ac:dyDescent="0.25">
      <c r="A70" s="12" t="s">
        <v>62</v>
      </c>
      <c r="B70" s="12" t="s">
        <v>23</v>
      </c>
      <c r="C70" s="13">
        <v>153</v>
      </c>
      <c r="D70" s="13">
        <v>152</v>
      </c>
      <c r="E70" s="13">
        <v>25</v>
      </c>
      <c r="F70" s="13">
        <v>25</v>
      </c>
      <c r="G70" s="13">
        <v>12</v>
      </c>
      <c r="H70" s="14">
        <f t="shared" si="4"/>
        <v>0.16447368421052633</v>
      </c>
      <c r="I70" s="14">
        <f t="shared" si="5"/>
        <v>1</v>
      </c>
      <c r="J70" s="14">
        <f t="shared" si="6"/>
        <v>0.48</v>
      </c>
      <c r="K70" s="14">
        <f t="shared" si="7"/>
        <v>7.8431372549019607E-2</v>
      </c>
    </row>
    <row r="71" spans="1:11" ht="15" customHeight="1" x14ac:dyDescent="0.25">
      <c r="A71" s="12" t="s">
        <v>63</v>
      </c>
      <c r="B71" s="12" t="s">
        <v>23</v>
      </c>
      <c r="C71" s="13">
        <v>150</v>
      </c>
      <c r="D71" s="13">
        <v>150</v>
      </c>
      <c r="E71" s="13">
        <v>30</v>
      </c>
      <c r="F71" s="13">
        <v>22</v>
      </c>
      <c r="G71" s="13">
        <v>12</v>
      </c>
      <c r="H71" s="14">
        <f t="shared" si="4"/>
        <v>0.2</v>
      </c>
      <c r="I71" s="14">
        <f t="shared" si="5"/>
        <v>0.73333333333333328</v>
      </c>
      <c r="J71" s="14">
        <f t="shared" si="6"/>
        <v>0.54545454545454541</v>
      </c>
      <c r="K71" s="14">
        <f t="shared" si="7"/>
        <v>0.08</v>
      </c>
    </row>
    <row r="72" spans="1:11" ht="15" customHeight="1" x14ac:dyDescent="0.25">
      <c r="A72" s="12" t="s">
        <v>64</v>
      </c>
      <c r="B72" s="12" t="s">
        <v>23</v>
      </c>
      <c r="C72" s="13">
        <v>149</v>
      </c>
      <c r="D72" s="13">
        <v>149</v>
      </c>
      <c r="E72" s="13">
        <v>23</v>
      </c>
      <c r="F72" s="13">
        <v>15</v>
      </c>
      <c r="G72" s="13">
        <v>8</v>
      </c>
      <c r="H72" s="14">
        <f t="shared" si="4"/>
        <v>0.15436241610738255</v>
      </c>
      <c r="I72" s="14">
        <f t="shared" si="5"/>
        <v>0.65217391304347827</v>
      </c>
      <c r="J72" s="14">
        <f t="shared" si="6"/>
        <v>0.53333333333333333</v>
      </c>
      <c r="K72" s="14">
        <f t="shared" si="7"/>
        <v>5.3691275167785234E-2</v>
      </c>
    </row>
    <row r="73" spans="1:11" ht="15" customHeight="1" x14ac:dyDescent="0.25">
      <c r="A73" s="12" t="s">
        <v>49</v>
      </c>
      <c r="B73" s="12" t="s">
        <v>24</v>
      </c>
      <c r="C73" s="13">
        <v>148</v>
      </c>
      <c r="D73" s="13">
        <v>148</v>
      </c>
      <c r="E73" s="13">
        <v>24</v>
      </c>
      <c r="F73" s="13">
        <v>18</v>
      </c>
      <c r="G73" s="13">
        <v>5</v>
      </c>
      <c r="H73" s="14">
        <f t="shared" si="4"/>
        <v>0.16216216216216217</v>
      </c>
      <c r="I73" s="14">
        <f t="shared" si="5"/>
        <v>0.75</v>
      </c>
      <c r="J73" s="14">
        <f t="shared" si="6"/>
        <v>0.27777777777777779</v>
      </c>
      <c r="K73" s="14">
        <f t="shared" si="7"/>
        <v>3.3783783783783786E-2</v>
      </c>
    </row>
    <row r="74" spans="1:11" ht="15" customHeight="1" x14ac:dyDescent="0.25">
      <c r="A74" s="12" t="s">
        <v>52</v>
      </c>
      <c r="B74" s="12" t="s">
        <v>24</v>
      </c>
      <c r="C74" s="13">
        <v>147</v>
      </c>
      <c r="D74" s="13">
        <v>147</v>
      </c>
      <c r="E74" s="13">
        <v>40</v>
      </c>
      <c r="F74" s="13">
        <v>24</v>
      </c>
      <c r="G74" s="13">
        <v>14</v>
      </c>
      <c r="H74" s="14">
        <f t="shared" si="4"/>
        <v>0.27210884353741499</v>
      </c>
      <c r="I74" s="14">
        <f t="shared" si="5"/>
        <v>0.6</v>
      </c>
      <c r="J74" s="14">
        <f t="shared" si="6"/>
        <v>0.58333333333333337</v>
      </c>
      <c r="K74" s="14">
        <f t="shared" si="7"/>
        <v>9.5238095238095233E-2</v>
      </c>
    </row>
    <row r="75" spans="1:11" ht="15" customHeight="1" x14ac:dyDescent="0.25">
      <c r="A75" s="12" t="s">
        <v>26</v>
      </c>
      <c r="B75" s="12" t="s">
        <v>31</v>
      </c>
      <c r="C75" s="13">
        <v>143</v>
      </c>
      <c r="D75" s="13">
        <v>143</v>
      </c>
      <c r="E75" s="13">
        <v>27</v>
      </c>
      <c r="F75" s="13">
        <v>19</v>
      </c>
      <c r="G75" s="13">
        <v>6</v>
      </c>
      <c r="H75" s="14">
        <f t="shared" si="4"/>
        <v>0.1888111888111888</v>
      </c>
      <c r="I75" s="14">
        <f t="shared" si="5"/>
        <v>0.70370370370370372</v>
      </c>
      <c r="J75" s="14">
        <f t="shared" si="6"/>
        <v>0.31578947368421051</v>
      </c>
      <c r="K75" s="14">
        <f t="shared" si="7"/>
        <v>4.195804195804196E-2</v>
      </c>
    </row>
    <row r="76" spans="1:11" ht="15" customHeight="1" x14ac:dyDescent="0.25">
      <c r="A76" s="12" t="s">
        <v>62</v>
      </c>
      <c r="B76" s="12" t="s">
        <v>24</v>
      </c>
      <c r="C76" s="13">
        <v>143</v>
      </c>
      <c r="D76" s="13">
        <v>141</v>
      </c>
      <c r="E76" s="13">
        <v>38</v>
      </c>
      <c r="F76" s="13">
        <v>19</v>
      </c>
      <c r="G76" s="13">
        <v>9</v>
      </c>
      <c r="H76" s="14">
        <f t="shared" si="4"/>
        <v>0.26950354609929078</v>
      </c>
      <c r="I76" s="14">
        <f t="shared" si="5"/>
        <v>0.5</v>
      </c>
      <c r="J76" s="14">
        <f t="shared" si="6"/>
        <v>0.47368421052631576</v>
      </c>
      <c r="K76" s="14">
        <f t="shared" si="7"/>
        <v>6.2937062937062943E-2</v>
      </c>
    </row>
    <row r="77" spans="1:11" ht="15" customHeight="1" x14ac:dyDescent="0.25">
      <c r="A77" s="12" t="s">
        <v>58</v>
      </c>
      <c r="B77" s="12" t="s">
        <v>24</v>
      </c>
      <c r="C77" s="13">
        <v>142</v>
      </c>
      <c r="D77" s="13">
        <v>142</v>
      </c>
      <c r="E77" s="13">
        <v>30</v>
      </c>
      <c r="F77" s="13">
        <v>27</v>
      </c>
      <c r="G77" s="13">
        <v>16</v>
      </c>
      <c r="H77" s="14">
        <f t="shared" si="4"/>
        <v>0.21126760563380281</v>
      </c>
      <c r="I77" s="14">
        <f t="shared" si="5"/>
        <v>0.9</v>
      </c>
      <c r="J77" s="14">
        <f t="shared" si="6"/>
        <v>0.59259259259259256</v>
      </c>
      <c r="K77" s="14">
        <f t="shared" si="7"/>
        <v>0.11267605633802817</v>
      </c>
    </row>
    <row r="78" spans="1:11" ht="15" customHeight="1" x14ac:dyDescent="0.25">
      <c r="A78" s="12" t="s">
        <v>60</v>
      </c>
      <c r="B78" s="12" t="s">
        <v>24</v>
      </c>
      <c r="C78" s="13">
        <v>142</v>
      </c>
      <c r="D78" s="13">
        <v>142</v>
      </c>
      <c r="E78" s="13">
        <v>24</v>
      </c>
      <c r="F78" s="13">
        <v>26</v>
      </c>
      <c r="G78" s="13">
        <v>10</v>
      </c>
      <c r="H78" s="14">
        <f t="shared" si="4"/>
        <v>0.16901408450704225</v>
      </c>
      <c r="I78" s="14">
        <f t="shared" si="5"/>
        <v>1.0833333333333333</v>
      </c>
      <c r="J78" s="14">
        <f t="shared" si="6"/>
        <v>0.38461538461538464</v>
      </c>
      <c r="K78" s="14">
        <f t="shared" si="7"/>
        <v>7.0422535211267609E-2</v>
      </c>
    </row>
    <row r="79" spans="1:11" ht="15" customHeight="1" x14ac:dyDescent="0.25">
      <c r="A79" s="12" t="s">
        <v>65</v>
      </c>
      <c r="B79" s="12" t="s">
        <v>23</v>
      </c>
      <c r="C79" s="13">
        <v>139</v>
      </c>
      <c r="D79" s="13">
        <v>137</v>
      </c>
      <c r="E79" s="13">
        <v>35</v>
      </c>
      <c r="F79" s="13">
        <v>21</v>
      </c>
      <c r="G79" s="13">
        <v>9</v>
      </c>
      <c r="H79" s="14">
        <f t="shared" si="4"/>
        <v>0.25547445255474455</v>
      </c>
      <c r="I79" s="14">
        <f t="shared" si="5"/>
        <v>0.6</v>
      </c>
      <c r="J79" s="14">
        <f t="shared" si="6"/>
        <v>0.42857142857142855</v>
      </c>
      <c r="K79" s="14">
        <f t="shared" si="7"/>
        <v>6.4748201438848921E-2</v>
      </c>
    </row>
    <row r="80" spans="1:11" ht="15" customHeight="1" x14ac:dyDescent="0.25">
      <c r="A80" s="12" t="s">
        <v>59</v>
      </c>
      <c r="B80" s="12" t="s">
        <v>24</v>
      </c>
      <c r="C80" s="13">
        <v>122</v>
      </c>
      <c r="D80" s="13">
        <v>122</v>
      </c>
      <c r="E80" s="13">
        <v>28</v>
      </c>
      <c r="F80" s="13">
        <v>20</v>
      </c>
      <c r="G80" s="13">
        <v>11</v>
      </c>
      <c r="H80" s="14">
        <f t="shared" si="4"/>
        <v>0.22950819672131148</v>
      </c>
      <c r="I80" s="14">
        <f t="shared" si="5"/>
        <v>0.7142857142857143</v>
      </c>
      <c r="J80" s="14">
        <f t="shared" si="6"/>
        <v>0.55000000000000004</v>
      </c>
      <c r="K80" s="14">
        <f t="shared" si="7"/>
        <v>9.0163934426229511E-2</v>
      </c>
    </row>
    <row r="81" spans="1:11" ht="15" customHeight="1" x14ac:dyDescent="0.25">
      <c r="A81" s="12" t="s">
        <v>57</v>
      </c>
      <c r="B81" s="12" t="s">
        <v>24</v>
      </c>
      <c r="C81" s="13">
        <v>120</v>
      </c>
      <c r="D81" s="13">
        <v>118</v>
      </c>
      <c r="E81" s="13">
        <v>24</v>
      </c>
      <c r="F81" s="13">
        <v>16</v>
      </c>
      <c r="G81" s="13">
        <v>6</v>
      </c>
      <c r="H81" s="14">
        <f t="shared" si="4"/>
        <v>0.20338983050847459</v>
      </c>
      <c r="I81" s="14">
        <f t="shared" si="5"/>
        <v>0.66666666666666663</v>
      </c>
      <c r="J81" s="14">
        <f t="shared" si="6"/>
        <v>0.375</v>
      </c>
      <c r="K81" s="14">
        <f t="shared" si="7"/>
        <v>0.05</v>
      </c>
    </row>
    <row r="82" spans="1:11" ht="15" customHeight="1" x14ac:dyDescent="0.25">
      <c r="A82" s="12" t="s">
        <v>51</v>
      </c>
      <c r="B82" s="12" t="s">
        <v>24</v>
      </c>
      <c r="C82" s="13">
        <v>120</v>
      </c>
      <c r="D82" s="13">
        <v>120</v>
      </c>
      <c r="E82" s="13">
        <v>24</v>
      </c>
      <c r="F82" s="13">
        <v>12</v>
      </c>
      <c r="G82" s="13">
        <v>4</v>
      </c>
      <c r="H82" s="14">
        <f t="shared" si="4"/>
        <v>0.2</v>
      </c>
      <c r="I82" s="14">
        <f t="shared" si="5"/>
        <v>0.5</v>
      </c>
      <c r="J82" s="14">
        <f t="shared" si="6"/>
        <v>0.33333333333333331</v>
      </c>
      <c r="K82" s="14">
        <f t="shared" si="7"/>
        <v>3.3333333333333333E-2</v>
      </c>
    </row>
    <row r="83" spans="1:11" ht="15" customHeight="1" x14ac:dyDescent="0.25">
      <c r="A83" s="12" t="s">
        <v>66</v>
      </c>
      <c r="B83" s="12" t="s">
        <v>23</v>
      </c>
      <c r="C83" s="13">
        <v>117</v>
      </c>
      <c r="D83" s="13">
        <v>117</v>
      </c>
      <c r="E83" s="13">
        <v>27</v>
      </c>
      <c r="F83" s="13">
        <v>13</v>
      </c>
      <c r="G83" s="13">
        <v>3</v>
      </c>
      <c r="H83" s="14">
        <f t="shared" si="4"/>
        <v>0.23076923076923078</v>
      </c>
      <c r="I83" s="14">
        <f t="shared" si="5"/>
        <v>0.48148148148148145</v>
      </c>
      <c r="J83" s="14">
        <f t="shared" si="6"/>
        <v>0.23076923076923078</v>
      </c>
      <c r="K83" s="14">
        <f t="shared" si="7"/>
        <v>2.564102564102564E-2</v>
      </c>
    </row>
    <row r="84" spans="1:11" ht="15" customHeight="1" x14ac:dyDescent="0.25">
      <c r="A84" s="12" t="s">
        <v>55</v>
      </c>
      <c r="B84" s="12" t="s">
        <v>24</v>
      </c>
      <c r="C84" s="13">
        <v>107</v>
      </c>
      <c r="D84" s="13">
        <v>107</v>
      </c>
      <c r="E84" s="13">
        <v>18</v>
      </c>
      <c r="F84" s="13">
        <v>16</v>
      </c>
      <c r="G84" s="13">
        <v>7</v>
      </c>
      <c r="H84" s="14">
        <f t="shared" si="4"/>
        <v>0.16822429906542055</v>
      </c>
      <c r="I84" s="14">
        <f t="shared" si="5"/>
        <v>0.88888888888888884</v>
      </c>
      <c r="J84" s="14">
        <f t="shared" si="6"/>
        <v>0.4375</v>
      </c>
      <c r="K84" s="14">
        <f t="shared" si="7"/>
        <v>6.5420560747663545E-2</v>
      </c>
    </row>
    <row r="85" spans="1:11" ht="15" customHeight="1" x14ac:dyDescent="0.25">
      <c r="A85" s="12" t="s">
        <v>67</v>
      </c>
      <c r="B85" s="12" t="s">
        <v>23</v>
      </c>
      <c r="C85" s="13">
        <v>105</v>
      </c>
      <c r="D85" s="13">
        <v>105</v>
      </c>
      <c r="E85" s="13">
        <v>13</v>
      </c>
      <c r="F85" s="13">
        <v>12</v>
      </c>
      <c r="G85" s="13">
        <v>5</v>
      </c>
      <c r="H85" s="14">
        <f t="shared" si="4"/>
        <v>0.12380952380952381</v>
      </c>
      <c r="I85" s="14">
        <f t="shared" si="5"/>
        <v>0.92307692307692313</v>
      </c>
      <c r="J85" s="14">
        <f t="shared" si="6"/>
        <v>0.41666666666666669</v>
      </c>
      <c r="K85" s="14">
        <f t="shared" si="7"/>
        <v>4.7619047619047616E-2</v>
      </c>
    </row>
    <row r="86" spans="1:11" ht="15" customHeight="1" x14ac:dyDescent="0.25">
      <c r="A86" s="12" t="s">
        <v>68</v>
      </c>
      <c r="B86" s="12" t="s">
        <v>23</v>
      </c>
      <c r="C86" s="13">
        <v>104</v>
      </c>
      <c r="D86" s="13">
        <v>103</v>
      </c>
      <c r="E86" s="13">
        <v>20</v>
      </c>
      <c r="F86" s="13">
        <v>18</v>
      </c>
      <c r="G86" s="13">
        <v>8</v>
      </c>
      <c r="H86" s="14">
        <f t="shared" si="4"/>
        <v>0.1941747572815534</v>
      </c>
      <c r="I86" s="14">
        <f t="shared" si="5"/>
        <v>0.9</v>
      </c>
      <c r="J86" s="14">
        <f t="shared" si="6"/>
        <v>0.44444444444444442</v>
      </c>
      <c r="K86" s="14">
        <f t="shared" si="7"/>
        <v>7.6923076923076927E-2</v>
      </c>
    </row>
    <row r="87" spans="1:11" ht="15" customHeight="1" x14ac:dyDescent="0.25">
      <c r="A87" s="12" t="s">
        <v>69</v>
      </c>
      <c r="B87" s="12" t="s">
        <v>23</v>
      </c>
      <c r="C87" s="13">
        <v>104</v>
      </c>
      <c r="D87" s="13">
        <v>104</v>
      </c>
      <c r="E87" s="13">
        <v>13</v>
      </c>
      <c r="F87" s="13">
        <v>10</v>
      </c>
      <c r="G87" s="13">
        <v>1</v>
      </c>
      <c r="H87" s="14">
        <f t="shared" si="4"/>
        <v>0.125</v>
      </c>
      <c r="I87" s="14">
        <f t="shared" si="5"/>
        <v>0.76923076923076927</v>
      </c>
      <c r="J87" s="14">
        <f t="shared" si="6"/>
        <v>0.1</v>
      </c>
      <c r="K87" s="14">
        <f t="shared" si="7"/>
        <v>9.6153846153846159E-3</v>
      </c>
    </row>
    <row r="88" spans="1:11" ht="15" customHeight="1" x14ac:dyDescent="0.25">
      <c r="A88" s="12" t="s">
        <v>65</v>
      </c>
      <c r="B88" s="12" t="s">
        <v>24</v>
      </c>
      <c r="C88" s="13">
        <v>94</v>
      </c>
      <c r="D88" s="13">
        <v>93</v>
      </c>
      <c r="E88" s="13">
        <v>23</v>
      </c>
      <c r="F88" s="13">
        <v>15</v>
      </c>
      <c r="G88" s="13">
        <v>5</v>
      </c>
      <c r="H88" s="14">
        <f t="shared" si="4"/>
        <v>0.24731182795698925</v>
      </c>
      <c r="I88" s="14">
        <f t="shared" si="5"/>
        <v>0.65217391304347827</v>
      </c>
      <c r="J88" s="14">
        <f t="shared" si="6"/>
        <v>0.33333333333333331</v>
      </c>
      <c r="K88" s="14">
        <f t="shared" si="7"/>
        <v>5.3191489361702128E-2</v>
      </c>
    </row>
    <row r="89" spans="1:11" ht="15" customHeight="1" x14ac:dyDescent="0.25">
      <c r="A89" s="12" t="s">
        <v>61</v>
      </c>
      <c r="B89" s="12" t="s">
        <v>24</v>
      </c>
      <c r="C89" s="13">
        <v>93</v>
      </c>
      <c r="D89" s="13">
        <v>93</v>
      </c>
      <c r="E89" s="13">
        <v>18</v>
      </c>
      <c r="F89" s="13">
        <v>15</v>
      </c>
      <c r="G89" s="13">
        <v>6</v>
      </c>
      <c r="H89" s="14">
        <f t="shared" si="4"/>
        <v>0.19354838709677419</v>
      </c>
      <c r="I89" s="14">
        <f t="shared" si="5"/>
        <v>0.83333333333333337</v>
      </c>
      <c r="J89" s="14">
        <f t="shared" si="6"/>
        <v>0.4</v>
      </c>
      <c r="K89" s="14">
        <f t="shared" si="7"/>
        <v>6.4516129032258063E-2</v>
      </c>
    </row>
    <row r="90" spans="1:11" ht="15" customHeight="1" x14ac:dyDescent="0.25">
      <c r="A90" s="12" t="s">
        <v>70</v>
      </c>
      <c r="B90" s="12" t="s">
        <v>23</v>
      </c>
      <c r="C90" s="13">
        <v>93</v>
      </c>
      <c r="D90" s="13">
        <v>93</v>
      </c>
      <c r="E90" s="13">
        <v>20</v>
      </c>
      <c r="F90" s="13">
        <v>16</v>
      </c>
      <c r="G90" s="13">
        <v>8</v>
      </c>
      <c r="H90" s="14">
        <f t="shared" si="4"/>
        <v>0.21505376344086022</v>
      </c>
      <c r="I90" s="14">
        <f t="shared" si="5"/>
        <v>0.8</v>
      </c>
      <c r="J90" s="14">
        <f t="shared" si="6"/>
        <v>0.5</v>
      </c>
      <c r="K90" s="14">
        <f t="shared" si="7"/>
        <v>8.6021505376344093E-2</v>
      </c>
    </row>
    <row r="91" spans="1:11" ht="15" customHeight="1" x14ac:dyDescent="0.25">
      <c r="A91" s="12" t="s">
        <v>71</v>
      </c>
      <c r="B91" s="12" t="s">
        <v>23</v>
      </c>
      <c r="C91" s="13">
        <v>89</v>
      </c>
      <c r="D91" s="13">
        <v>89</v>
      </c>
      <c r="E91" s="13">
        <v>17</v>
      </c>
      <c r="F91" s="13">
        <v>10</v>
      </c>
      <c r="G91" s="13">
        <v>6</v>
      </c>
      <c r="H91" s="14">
        <f t="shared" si="4"/>
        <v>0.19101123595505617</v>
      </c>
      <c r="I91" s="14">
        <f t="shared" si="5"/>
        <v>0.58823529411764708</v>
      </c>
      <c r="J91" s="14">
        <f t="shared" si="6"/>
        <v>0.6</v>
      </c>
      <c r="K91" s="14">
        <f t="shared" si="7"/>
        <v>6.741573033707865E-2</v>
      </c>
    </row>
    <row r="92" spans="1:11" ht="15" customHeight="1" x14ac:dyDescent="0.25">
      <c r="A92" s="12" t="s">
        <v>72</v>
      </c>
      <c r="B92" s="12" t="s">
        <v>23</v>
      </c>
      <c r="C92" s="13">
        <v>89</v>
      </c>
      <c r="D92" s="13">
        <v>89</v>
      </c>
      <c r="E92" s="13">
        <v>20</v>
      </c>
      <c r="F92" s="13">
        <v>13</v>
      </c>
      <c r="G92" s="13">
        <v>6</v>
      </c>
      <c r="H92" s="14">
        <f t="shared" si="4"/>
        <v>0.2247191011235955</v>
      </c>
      <c r="I92" s="14">
        <f t="shared" si="5"/>
        <v>0.65</v>
      </c>
      <c r="J92" s="14">
        <f t="shared" si="6"/>
        <v>0.46153846153846156</v>
      </c>
      <c r="K92" s="14">
        <f t="shared" si="7"/>
        <v>6.741573033707865E-2</v>
      </c>
    </row>
    <row r="93" spans="1:11" ht="15" customHeight="1" x14ac:dyDescent="0.25">
      <c r="A93" s="12" t="s">
        <v>69</v>
      </c>
      <c r="B93" s="12" t="s">
        <v>24</v>
      </c>
      <c r="C93" s="13">
        <v>86</v>
      </c>
      <c r="D93" s="13">
        <v>85</v>
      </c>
      <c r="E93" s="13">
        <v>15</v>
      </c>
      <c r="F93" s="13">
        <v>7</v>
      </c>
      <c r="G93" s="13">
        <v>3</v>
      </c>
      <c r="H93" s="14">
        <f t="shared" si="4"/>
        <v>0.17647058823529413</v>
      </c>
      <c r="I93" s="14">
        <f t="shared" si="5"/>
        <v>0.46666666666666667</v>
      </c>
      <c r="J93" s="14">
        <f t="shared" si="6"/>
        <v>0.42857142857142855</v>
      </c>
      <c r="K93" s="14">
        <f t="shared" si="7"/>
        <v>3.4883720930232558E-2</v>
      </c>
    </row>
    <row r="94" spans="1:11" ht="15" customHeight="1" x14ac:dyDescent="0.25">
      <c r="A94" s="12" t="s">
        <v>68</v>
      </c>
      <c r="B94" s="12" t="s">
        <v>24</v>
      </c>
      <c r="C94" s="13">
        <v>84</v>
      </c>
      <c r="D94" s="13">
        <v>83</v>
      </c>
      <c r="E94" s="13">
        <v>29</v>
      </c>
      <c r="F94" s="13">
        <v>16</v>
      </c>
      <c r="G94" s="13">
        <v>6</v>
      </c>
      <c r="H94" s="14">
        <f t="shared" si="4"/>
        <v>0.3493975903614458</v>
      </c>
      <c r="I94" s="14">
        <f t="shared" si="5"/>
        <v>0.55172413793103448</v>
      </c>
      <c r="J94" s="14">
        <f t="shared" si="6"/>
        <v>0.375</v>
      </c>
      <c r="K94" s="14">
        <f t="shared" si="7"/>
        <v>7.1428571428571425E-2</v>
      </c>
    </row>
    <row r="95" spans="1:11" ht="15" customHeight="1" x14ac:dyDescent="0.25">
      <c r="A95" s="12" t="s">
        <v>63</v>
      </c>
      <c r="B95" s="12" t="s">
        <v>24</v>
      </c>
      <c r="C95" s="13">
        <v>76</v>
      </c>
      <c r="D95" s="13">
        <v>75</v>
      </c>
      <c r="E95" s="13">
        <v>13</v>
      </c>
      <c r="F95" s="13">
        <v>14</v>
      </c>
      <c r="G95" s="13">
        <v>7</v>
      </c>
      <c r="H95" s="14">
        <f t="shared" si="4"/>
        <v>0.17333333333333334</v>
      </c>
      <c r="I95" s="14">
        <f t="shared" si="5"/>
        <v>1.0769230769230769</v>
      </c>
      <c r="J95" s="14">
        <f t="shared" si="6"/>
        <v>0.5</v>
      </c>
      <c r="K95" s="14">
        <f t="shared" si="7"/>
        <v>9.2105263157894732E-2</v>
      </c>
    </row>
    <row r="96" spans="1:11" ht="15" customHeight="1" x14ac:dyDescent="0.25">
      <c r="A96" s="12" t="s">
        <v>73</v>
      </c>
      <c r="B96" s="12" t="s">
        <v>23</v>
      </c>
      <c r="C96" s="13">
        <v>75</v>
      </c>
      <c r="D96" s="13">
        <v>74</v>
      </c>
      <c r="E96" s="13">
        <v>17</v>
      </c>
      <c r="F96" s="13">
        <v>8</v>
      </c>
      <c r="G96" s="13">
        <v>2</v>
      </c>
      <c r="H96" s="14">
        <f t="shared" si="4"/>
        <v>0.22972972972972974</v>
      </c>
      <c r="I96" s="14">
        <f t="shared" si="5"/>
        <v>0.47058823529411764</v>
      </c>
      <c r="J96" s="14">
        <f t="shared" si="6"/>
        <v>0.25</v>
      </c>
      <c r="K96" s="14">
        <f t="shared" si="7"/>
        <v>2.6666666666666668E-2</v>
      </c>
    </row>
    <row r="97" spans="1:11" ht="15" customHeight="1" x14ac:dyDescent="0.25">
      <c r="A97" s="12" t="s">
        <v>64</v>
      </c>
      <c r="B97" s="12" t="s">
        <v>24</v>
      </c>
      <c r="C97" s="13">
        <v>74</v>
      </c>
      <c r="D97" s="13">
        <v>74</v>
      </c>
      <c r="E97" s="13">
        <v>8</v>
      </c>
      <c r="F97" s="13">
        <v>13</v>
      </c>
      <c r="G97" s="13">
        <v>3</v>
      </c>
      <c r="H97" s="14">
        <f t="shared" si="4"/>
        <v>0.10810810810810811</v>
      </c>
      <c r="I97" s="14">
        <f t="shared" si="5"/>
        <v>1.625</v>
      </c>
      <c r="J97" s="14">
        <f t="shared" si="6"/>
        <v>0.23076923076923078</v>
      </c>
      <c r="K97" s="14">
        <f t="shared" si="7"/>
        <v>4.0540540540540543E-2</v>
      </c>
    </row>
    <row r="98" spans="1:11" ht="15" customHeight="1" x14ac:dyDescent="0.25">
      <c r="A98" s="12" t="s">
        <v>74</v>
      </c>
      <c r="B98" s="12" t="s">
        <v>23</v>
      </c>
      <c r="C98" s="13">
        <v>72</v>
      </c>
      <c r="D98" s="13">
        <v>72</v>
      </c>
      <c r="E98" s="13">
        <v>15</v>
      </c>
      <c r="F98" s="13">
        <v>11</v>
      </c>
      <c r="G98" s="13">
        <v>3</v>
      </c>
      <c r="H98" s="14">
        <f t="shared" si="4"/>
        <v>0.20833333333333334</v>
      </c>
      <c r="I98" s="14">
        <f t="shared" si="5"/>
        <v>0.73333333333333328</v>
      </c>
      <c r="J98" s="14">
        <f t="shared" si="6"/>
        <v>0.27272727272727271</v>
      </c>
      <c r="K98" s="14">
        <f t="shared" si="7"/>
        <v>4.1666666666666664E-2</v>
      </c>
    </row>
    <row r="99" spans="1:11" ht="15" customHeight="1" x14ac:dyDescent="0.25">
      <c r="A99" s="12" t="s">
        <v>66</v>
      </c>
      <c r="B99" s="12" t="s">
        <v>24</v>
      </c>
      <c r="C99" s="13">
        <v>71</v>
      </c>
      <c r="D99" s="13">
        <v>69</v>
      </c>
      <c r="E99" s="13">
        <v>22</v>
      </c>
      <c r="F99" s="13">
        <v>17</v>
      </c>
      <c r="G99" s="13">
        <v>7</v>
      </c>
      <c r="H99" s="14">
        <f t="shared" si="4"/>
        <v>0.3188405797101449</v>
      </c>
      <c r="I99" s="14">
        <f t="shared" si="5"/>
        <v>0.77272727272727271</v>
      </c>
      <c r="J99" s="14">
        <f t="shared" si="6"/>
        <v>0.41176470588235292</v>
      </c>
      <c r="K99" s="14">
        <f t="shared" si="7"/>
        <v>9.8591549295774641E-2</v>
      </c>
    </row>
    <row r="100" spans="1:11" ht="15" customHeight="1" x14ac:dyDescent="0.25">
      <c r="A100" s="12" t="s">
        <v>27</v>
      </c>
      <c r="B100" s="12" t="s">
        <v>31</v>
      </c>
      <c r="C100" s="13">
        <v>70</v>
      </c>
      <c r="D100" s="13">
        <v>70</v>
      </c>
      <c r="E100" s="13">
        <v>14</v>
      </c>
      <c r="F100" s="13">
        <v>11</v>
      </c>
      <c r="G100" s="13">
        <v>3</v>
      </c>
      <c r="H100" s="14">
        <f t="shared" si="4"/>
        <v>0.2</v>
      </c>
      <c r="I100" s="14">
        <f t="shared" si="5"/>
        <v>0.7857142857142857</v>
      </c>
      <c r="J100" s="14">
        <f t="shared" si="6"/>
        <v>0.27272727272727271</v>
      </c>
      <c r="K100" s="14">
        <f t="shared" si="7"/>
        <v>4.2857142857142858E-2</v>
      </c>
    </row>
    <row r="101" spans="1:11" ht="15" customHeight="1" x14ac:dyDescent="0.25">
      <c r="A101" s="12" t="s">
        <v>75</v>
      </c>
      <c r="B101" s="12" t="s">
        <v>23</v>
      </c>
      <c r="C101" s="13">
        <v>69</v>
      </c>
      <c r="D101" s="13">
        <v>69</v>
      </c>
      <c r="E101" s="13">
        <v>13</v>
      </c>
      <c r="F101" s="13">
        <v>6</v>
      </c>
      <c r="G101" s="13">
        <v>4</v>
      </c>
      <c r="H101" s="14">
        <f t="shared" si="4"/>
        <v>0.18840579710144928</v>
      </c>
      <c r="I101" s="14">
        <f t="shared" si="5"/>
        <v>0.46153846153846156</v>
      </c>
      <c r="J101" s="14">
        <f t="shared" si="6"/>
        <v>0.66666666666666663</v>
      </c>
      <c r="K101" s="14">
        <f t="shared" si="7"/>
        <v>5.7971014492753624E-2</v>
      </c>
    </row>
    <row r="102" spans="1:11" ht="15" customHeight="1" x14ac:dyDescent="0.25">
      <c r="A102" s="12" t="s">
        <v>76</v>
      </c>
      <c r="B102" s="12" t="s">
        <v>23</v>
      </c>
      <c r="C102" s="13">
        <v>67</v>
      </c>
      <c r="D102" s="13">
        <v>67</v>
      </c>
      <c r="E102" s="13">
        <v>11</v>
      </c>
      <c r="F102" s="13">
        <v>8</v>
      </c>
      <c r="G102" s="13">
        <v>3</v>
      </c>
      <c r="H102" s="14">
        <f t="shared" si="4"/>
        <v>0.16417910447761194</v>
      </c>
      <c r="I102" s="14">
        <f t="shared" si="5"/>
        <v>0.72727272727272729</v>
      </c>
      <c r="J102" s="14">
        <f t="shared" si="6"/>
        <v>0.375</v>
      </c>
      <c r="K102" s="14">
        <f t="shared" si="7"/>
        <v>4.4776119402985072E-2</v>
      </c>
    </row>
    <row r="103" spans="1:11" ht="15" customHeight="1" x14ac:dyDescent="0.25">
      <c r="A103" s="12" t="s">
        <v>77</v>
      </c>
      <c r="B103" s="12" t="s">
        <v>23</v>
      </c>
      <c r="C103" s="13">
        <v>67</v>
      </c>
      <c r="D103" s="13">
        <v>67</v>
      </c>
      <c r="E103" s="13">
        <v>11</v>
      </c>
      <c r="F103" s="13">
        <v>8</v>
      </c>
      <c r="G103" s="13">
        <v>2</v>
      </c>
      <c r="H103" s="14">
        <f t="shared" si="4"/>
        <v>0.16417910447761194</v>
      </c>
      <c r="I103" s="14">
        <f t="shared" si="5"/>
        <v>0.72727272727272729</v>
      </c>
      <c r="J103" s="14">
        <f t="shared" si="6"/>
        <v>0.25</v>
      </c>
      <c r="K103" s="14">
        <f t="shared" si="7"/>
        <v>2.9850746268656716E-2</v>
      </c>
    </row>
    <row r="104" spans="1:11" ht="15" customHeight="1" x14ac:dyDescent="0.25">
      <c r="A104" s="12" t="s">
        <v>70</v>
      </c>
      <c r="B104" s="12" t="s">
        <v>24</v>
      </c>
      <c r="C104" s="13">
        <v>65</v>
      </c>
      <c r="D104" s="13">
        <v>65</v>
      </c>
      <c r="E104" s="13">
        <v>11</v>
      </c>
      <c r="F104" s="13">
        <v>5</v>
      </c>
      <c r="G104" s="13">
        <v>1</v>
      </c>
      <c r="H104" s="14">
        <f t="shared" si="4"/>
        <v>0.16923076923076924</v>
      </c>
      <c r="I104" s="14">
        <f t="shared" si="5"/>
        <v>0.45454545454545453</v>
      </c>
      <c r="J104" s="14">
        <f t="shared" si="6"/>
        <v>0.2</v>
      </c>
      <c r="K104" s="14">
        <f t="shared" si="7"/>
        <v>1.5384615384615385E-2</v>
      </c>
    </row>
    <row r="105" spans="1:11" ht="15" customHeight="1" x14ac:dyDescent="0.25">
      <c r="A105" s="12" t="s">
        <v>73</v>
      </c>
      <c r="B105" s="12" t="s">
        <v>24</v>
      </c>
      <c r="C105" s="13">
        <v>64</v>
      </c>
      <c r="D105" s="13">
        <v>63</v>
      </c>
      <c r="E105" s="13">
        <v>21</v>
      </c>
      <c r="F105" s="13">
        <v>14</v>
      </c>
      <c r="G105" s="13">
        <v>7</v>
      </c>
      <c r="H105" s="14">
        <f t="shared" si="4"/>
        <v>0.33333333333333331</v>
      </c>
      <c r="I105" s="14">
        <f t="shared" si="5"/>
        <v>0.66666666666666663</v>
      </c>
      <c r="J105" s="14">
        <f t="shared" si="6"/>
        <v>0.5</v>
      </c>
      <c r="K105" s="14">
        <f t="shared" si="7"/>
        <v>0.109375</v>
      </c>
    </row>
    <row r="106" spans="1:11" ht="15" customHeight="1" x14ac:dyDescent="0.25">
      <c r="A106" s="12" t="s">
        <v>72</v>
      </c>
      <c r="B106" s="12" t="s">
        <v>24</v>
      </c>
      <c r="C106" s="13">
        <v>62</v>
      </c>
      <c r="D106" s="13">
        <v>61</v>
      </c>
      <c r="E106" s="13">
        <v>21</v>
      </c>
      <c r="F106" s="13">
        <v>11</v>
      </c>
      <c r="G106" s="13">
        <v>2</v>
      </c>
      <c r="H106" s="14">
        <f t="shared" si="4"/>
        <v>0.34426229508196721</v>
      </c>
      <c r="I106" s="14">
        <f t="shared" si="5"/>
        <v>0.52380952380952384</v>
      </c>
      <c r="J106" s="14">
        <f t="shared" si="6"/>
        <v>0.18181818181818182</v>
      </c>
      <c r="K106" s="14">
        <f t="shared" si="7"/>
        <v>3.2258064516129031E-2</v>
      </c>
    </row>
    <row r="107" spans="1:11" ht="15" customHeight="1" x14ac:dyDescent="0.25">
      <c r="A107" s="12" t="s">
        <v>75</v>
      </c>
      <c r="B107" s="12" t="s">
        <v>24</v>
      </c>
      <c r="C107" s="13">
        <v>57</v>
      </c>
      <c r="D107" s="13">
        <v>57</v>
      </c>
      <c r="E107" s="13">
        <v>15</v>
      </c>
      <c r="F107" s="13">
        <v>12</v>
      </c>
      <c r="G107" s="13">
        <v>6</v>
      </c>
      <c r="H107" s="14">
        <f t="shared" si="4"/>
        <v>0.26315789473684209</v>
      </c>
      <c r="I107" s="14">
        <f t="shared" si="5"/>
        <v>0.8</v>
      </c>
      <c r="J107" s="14">
        <f t="shared" si="6"/>
        <v>0.5</v>
      </c>
      <c r="K107" s="14">
        <f t="shared" si="7"/>
        <v>0.10526315789473684</v>
      </c>
    </row>
    <row r="108" spans="1:11" ht="15" customHeight="1" x14ac:dyDescent="0.25">
      <c r="A108" s="12" t="s">
        <v>78</v>
      </c>
      <c r="B108" s="12" t="s">
        <v>23</v>
      </c>
      <c r="C108" s="13">
        <v>57</v>
      </c>
      <c r="D108" s="13">
        <v>57</v>
      </c>
      <c r="E108" s="13">
        <v>14</v>
      </c>
      <c r="F108" s="13">
        <v>12</v>
      </c>
      <c r="G108" s="13">
        <v>0</v>
      </c>
      <c r="H108" s="14">
        <f t="shared" si="4"/>
        <v>0.24561403508771928</v>
      </c>
      <c r="I108" s="14">
        <f t="shared" si="5"/>
        <v>0.8571428571428571</v>
      </c>
      <c r="J108" s="14">
        <f t="shared" si="6"/>
        <v>0</v>
      </c>
      <c r="K108" s="14">
        <f t="shared" si="7"/>
        <v>0</v>
      </c>
    </row>
    <row r="109" spans="1:11" ht="15" customHeight="1" x14ac:dyDescent="0.25">
      <c r="A109" s="12" t="s">
        <v>79</v>
      </c>
      <c r="B109" s="12" t="s">
        <v>24</v>
      </c>
      <c r="C109" s="13">
        <v>55</v>
      </c>
      <c r="D109" s="13">
        <v>55</v>
      </c>
      <c r="E109" s="13">
        <v>7</v>
      </c>
      <c r="F109" s="13">
        <v>8</v>
      </c>
      <c r="G109" s="13">
        <v>3</v>
      </c>
      <c r="H109" s="14">
        <f t="shared" si="4"/>
        <v>0.12727272727272726</v>
      </c>
      <c r="I109" s="14">
        <f t="shared" si="5"/>
        <v>1.1428571428571428</v>
      </c>
      <c r="J109" s="14">
        <f t="shared" si="6"/>
        <v>0.375</v>
      </c>
      <c r="K109" s="14">
        <f t="shared" si="7"/>
        <v>5.4545454545454543E-2</v>
      </c>
    </row>
    <row r="110" spans="1:11" ht="15" customHeight="1" x14ac:dyDescent="0.25">
      <c r="A110" s="12" t="s">
        <v>80</v>
      </c>
      <c r="B110" s="12" t="s">
        <v>23</v>
      </c>
      <c r="C110" s="13">
        <v>55</v>
      </c>
      <c r="D110" s="13">
        <v>55</v>
      </c>
      <c r="E110" s="13">
        <v>15</v>
      </c>
      <c r="F110" s="13">
        <v>5</v>
      </c>
      <c r="G110" s="13">
        <v>2</v>
      </c>
      <c r="H110" s="14">
        <f t="shared" si="4"/>
        <v>0.27272727272727271</v>
      </c>
      <c r="I110" s="14">
        <f t="shared" si="5"/>
        <v>0.33333333333333331</v>
      </c>
      <c r="J110" s="14">
        <f t="shared" si="6"/>
        <v>0.4</v>
      </c>
      <c r="K110" s="14">
        <f t="shared" si="7"/>
        <v>3.6363636363636362E-2</v>
      </c>
    </row>
    <row r="111" spans="1:11" ht="15" customHeight="1" x14ac:dyDescent="0.25">
      <c r="A111" s="12" t="s">
        <v>78</v>
      </c>
      <c r="B111" s="12" t="s">
        <v>24</v>
      </c>
      <c r="C111" s="13">
        <v>55</v>
      </c>
      <c r="D111" s="13">
        <v>55</v>
      </c>
      <c r="E111" s="13">
        <v>17</v>
      </c>
      <c r="F111" s="13">
        <v>12</v>
      </c>
      <c r="G111" s="13">
        <v>2</v>
      </c>
      <c r="H111" s="14">
        <f t="shared" si="4"/>
        <v>0.30909090909090908</v>
      </c>
      <c r="I111" s="14">
        <f t="shared" si="5"/>
        <v>0.70588235294117652</v>
      </c>
      <c r="J111" s="14">
        <f t="shared" si="6"/>
        <v>0.16666666666666666</v>
      </c>
      <c r="K111" s="14">
        <f t="shared" si="7"/>
        <v>3.6363636363636362E-2</v>
      </c>
    </row>
    <row r="112" spans="1:11" ht="15" customHeight="1" x14ac:dyDescent="0.25">
      <c r="A112" s="12" t="s">
        <v>77</v>
      </c>
      <c r="B112" s="12" t="s">
        <v>24</v>
      </c>
      <c r="C112" s="13">
        <v>52</v>
      </c>
      <c r="D112" s="13">
        <v>52</v>
      </c>
      <c r="E112" s="13">
        <v>10</v>
      </c>
      <c r="F112" s="13">
        <v>6</v>
      </c>
      <c r="G112" s="13">
        <v>1</v>
      </c>
      <c r="H112" s="14">
        <f t="shared" si="4"/>
        <v>0.19230769230769232</v>
      </c>
      <c r="I112" s="14">
        <f t="shared" si="5"/>
        <v>0.6</v>
      </c>
      <c r="J112" s="14">
        <f t="shared" si="6"/>
        <v>0.16666666666666666</v>
      </c>
      <c r="K112" s="14">
        <f t="shared" si="7"/>
        <v>1.9230769230769232E-2</v>
      </c>
    </row>
    <row r="113" spans="1:11" ht="15" customHeight="1" x14ac:dyDescent="0.25">
      <c r="A113" s="12" t="s">
        <v>67</v>
      </c>
      <c r="B113" s="12" t="s">
        <v>24</v>
      </c>
      <c r="C113" s="13">
        <v>51</v>
      </c>
      <c r="D113" s="13">
        <v>50</v>
      </c>
      <c r="E113" s="13">
        <v>12</v>
      </c>
      <c r="F113" s="13">
        <v>12</v>
      </c>
      <c r="G113" s="13">
        <v>4</v>
      </c>
      <c r="H113" s="14">
        <f t="shared" si="4"/>
        <v>0.24</v>
      </c>
      <c r="I113" s="14">
        <f t="shared" si="5"/>
        <v>1</v>
      </c>
      <c r="J113" s="14">
        <f t="shared" si="6"/>
        <v>0.33333333333333331</v>
      </c>
      <c r="K113" s="14">
        <f t="shared" si="7"/>
        <v>7.8431372549019607E-2</v>
      </c>
    </row>
    <row r="114" spans="1:11" ht="15" customHeight="1" x14ac:dyDescent="0.25">
      <c r="A114" s="12" t="s">
        <v>81</v>
      </c>
      <c r="B114" s="12" t="s">
        <v>23</v>
      </c>
      <c r="C114" s="13">
        <v>48</v>
      </c>
      <c r="D114" s="13">
        <v>46</v>
      </c>
      <c r="E114" s="13">
        <v>5</v>
      </c>
      <c r="F114" s="13">
        <v>5</v>
      </c>
      <c r="G114" s="13">
        <v>4</v>
      </c>
      <c r="H114" s="14">
        <f t="shared" si="4"/>
        <v>0.10869565217391304</v>
      </c>
      <c r="I114" s="14">
        <f t="shared" si="5"/>
        <v>1</v>
      </c>
      <c r="J114" s="14">
        <f t="shared" si="6"/>
        <v>0.8</v>
      </c>
      <c r="K114" s="14">
        <f t="shared" si="7"/>
        <v>8.3333333333333329E-2</v>
      </c>
    </row>
    <row r="115" spans="1:11" ht="15" customHeight="1" x14ac:dyDescent="0.25">
      <c r="A115" s="12" t="s">
        <v>74</v>
      </c>
      <c r="B115" s="12" t="s">
        <v>24</v>
      </c>
      <c r="C115" s="13">
        <v>48</v>
      </c>
      <c r="D115" s="13">
        <v>48</v>
      </c>
      <c r="E115" s="13">
        <v>8</v>
      </c>
      <c r="F115" s="13">
        <v>3</v>
      </c>
      <c r="G115" s="13">
        <v>1</v>
      </c>
      <c r="H115" s="14">
        <f t="shared" si="4"/>
        <v>0.16666666666666666</v>
      </c>
      <c r="I115" s="14">
        <f t="shared" si="5"/>
        <v>0.375</v>
      </c>
      <c r="J115" s="14">
        <f t="shared" si="6"/>
        <v>0.33333333333333331</v>
      </c>
      <c r="K115" s="14">
        <f t="shared" si="7"/>
        <v>2.0833333333333332E-2</v>
      </c>
    </row>
    <row r="116" spans="1:11" ht="15" customHeight="1" x14ac:dyDescent="0.25">
      <c r="A116" s="12" t="s">
        <v>82</v>
      </c>
      <c r="B116" s="12" t="s">
        <v>23</v>
      </c>
      <c r="C116" s="13">
        <v>48</v>
      </c>
      <c r="D116" s="13">
        <v>48</v>
      </c>
      <c r="E116" s="13">
        <v>7</v>
      </c>
      <c r="F116" s="13">
        <v>10</v>
      </c>
      <c r="G116" s="13">
        <v>2</v>
      </c>
      <c r="H116" s="14">
        <f t="shared" si="4"/>
        <v>0.14583333333333334</v>
      </c>
      <c r="I116" s="14">
        <f t="shared" si="5"/>
        <v>1.4285714285714286</v>
      </c>
      <c r="J116" s="14">
        <f t="shared" si="6"/>
        <v>0.2</v>
      </c>
      <c r="K116" s="14">
        <f t="shared" si="7"/>
        <v>4.1666666666666664E-2</v>
      </c>
    </row>
    <row r="117" spans="1:11" ht="15" customHeight="1" x14ac:dyDescent="0.25">
      <c r="A117" s="12" t="s">
        <v>83</v>
      </c>
      <c r="B117" s="12" t="s">
        <v>23</v>
      </c>
      <c r="C117" s="13">
        <v>47</v>
      </c>
      <c r="D117" s="13">
        <v>47</v>
      </c>
      <c r="E117" s="13">
        <v>5</v>
      </c>
      <c r="F117" s="13">
        <v>6</v>
      </c>
      <c r="G117" s="13">
        <v>3</v>
      </c>
      <c r="H117" s="14">
        <f t="shared" si="4"/>
        <v>0.10638297872340426</v>
      </c>
      <c r="I117" s="14">
        <f t="shared" si="5"/>
        <v>1.2</v>
      </c>
      <c r="J117" s="14">
        <f t="shared" si="6"/>
        <v>0.5</v>
      </c>
      <c r="K117" s="14">
        <f t="shared" si="7"/>
        <v>6.3829787234042548E-2</v>
      </c>
    </row>
    <row r="118" spans="1:11" ht="15" customHeight="1" x14ac:dyDescent="0.25">
      <c r="A118" s="12" t="s">
        <v>80</v>
      </c>
      <c r="B118" s="12" t="s">
        <v>24</v>
      </c>
      <c r="C118" s="13">
        <v>47</v>
      </c>
      <c r="D118" s="13">
        <v>44</v>
      </c>
      <c r="E118" s="13">
        <v>10</v>
      </c>
      <c r="F118" s="13">
        <v>7</v>
      </c>
      <c r="G118" s="13">
        <v>3</v>
      </c>
      <c r="H118" s="14">
        <f t="shared" si="4"/>
        <v>0.22727272727272727</v>
      </c>
      <c r="I118" s="14">
        <f t="shared" si="5"/>
        <v>0.7</v>
      </c>
      <c r="J118" s="14">
        <f t="shared" si="6"/>
        <v>0.42857142857142855</v>
      </c>
      <c r="K118" s="14">
        <f t="shared" si="7"/>
        <v>6.3829787234042548E-2</v>
      </c>
    </row>
    <row r="119" spans="1:11" ht="15" customHeight="1" x14ac:dyDescent="0.25">
      <c r="A119" s="12" t="s">
        <v>79</v>
      </c>
      <c r="B119" s="12" t="s">
        <v>23</v>
      </c>
      <c r="C119" s="13">
        <v>46</v>
      </c>
      <c r="D119" s="13">
        <v>46</v>
      </c>
      <c r="E119" s="13">
        <v>8</v>
      </c>
      <c r="F119" s="13">
        <v>6</v>
      </c>
      <c r="G119" s="13">
        <v>4</v>
      </c>
      <c r="H119" s="14">
        <f t="shared" si="4"/>
        <v>0.17391304347826086</v>
      </c>
      <c r="I119" s="14">
        <f t="shared" si="5"/>
        <v>0.75</v>
      </c>
      <c r="J119" s="14">
        <f t="shared" si="6"/>
        <v>0.66666666666666663</v>
      </c>
      <c r="K119" s="14">
        <f t="shared" si="7"/>
        <v>8.6956521739130432E-2</v>
      </c>
    </row>
    <row r="120" spans="1:11" ht="15" customHeight="1" x14ac:dyDescent="0.25">
      <c r="A120" s="12" t="s">
        <v>84</v>
      </c>
      <c r="B120" s="12" t="s">
        <v>23</v>
      </c>
      <c r="C120" s="13">
        <v>44</v>
      </c>
      <c r="D120" s="13">
        <v>44</v>
      </c>
      <c r="E120" s="13">
        <v>12</v>
      </c>
      <c r="F120" s="13">
        <v>6</v>
      </c>
      <c r="G120" s="13">
        <v>5</v>
      </c>
      <c r="H120" s="14">
        <f t="shared" si="4"/>
        <v>0.27272727272727271</v>
      </c>
      <c r="I120" s="14">
        <f t="shared" si="5"/>
        <v>0.5</v>
      </c>
      <c r="J120" s="14">
        <f t="shared" si="6"/>
        <v>0.83333333333333337</v>
      </c>
      <c r="K120" s="14">
        <f t="shared" si="7"/>
        <v>0.11363636363636363</v>
      </c>
    </row>
    <row r="121" spans="1:11" ht="15" customHeight="1" x14ac:dyDescent="0.25">
      <c r="A121" s="12" t="s">
        <v>76</v>
      </c>
      <c r="B121" s="12" t="s">
        <v>24</v>
      </c>
      <c r="C121" s="13">
        <v>44</v>
      </c>
      <c r="D121" s="13">
        <v>43</v>
      </c>
      <c r="E121" s="13">
        <v>9</v>
      </c>
      <c r="F121" s="13">
        <v>9</v>
      </c>
      <c r="G121" s="13">
        <v>2</v>
      </c>
      <c r="H121" s="14">
        <f t="shared" si="4"/>
        <v>0.20930232558139536</v>
      </c>
      <c r="I121" s="14">
        <f t="shared" si="5"/>
        <v>1</v>
      </c>
      <c r="J121" s="14">
        <f t="shared" si="6"/>
        <v>0.22222222222222221</v>
      </c>
      <c r="K121" s="14">
        <f t="shared" si="7"/>
        <v>4.5454545454545456E-2</v>
      </c>
    </row>
    <row r="122" spans="1:11" ht="15" customHeight="1" x14ac:dyDescent="0.25">
      <c r="A122" s="12" t="s">
        <v>83</v>
      </c>
      <c r="B122" s="12" t="s">
        <v>24</v>
      </c>
      <c r="C122" s="13">
        <v>44</v>
      </c>
      <c r="D122" s="13">
        <v>44</v>
      </c>
      <c r="E122" s="13">
        <v>9</v>
      </c>
      <c r="F122" s="13">
        <v>5</v>
      </c>
      <c r="G122" s="13">
        <v>2</v>
      </c>
      <c r="H122" s="14">
        <f t="shared" si="4"/>
        <v>0.20454545454545456</v>
      </c>
      <c r="I122" s="14">
        <f t="shared" si="5"/>
        <v>0.55555555555555558</v>
      </c>
      <c r="J122" s="14">
        <f t="shared" si="6"/>
        <v>0.4</v>
      </c>
      <c r="K122" s="14">
        <f t="shared" si="7"/>
        <v>4.5454545454545456E-2</v>
      </c>
    </row>
    <row r="123" spans="1:11" ht="15" customHeight="1" x14ac:dyDescent="0.25">
      <c r="A123" s="12" t="s">
        <v>71</v>
      </c>
      <c r="B123" s="12" t="s">
        <v>24</v>
      </c>
      <c r="C123" s="13">
        <v>43</v>
      </c>
      <c r="D123" s="13">
        <v>43</v>
      </c>
      <c r="E123" s="13">
        <v>4</v>
      </c>
      <c r="F123" s="13">
        <v>6</v>
      </c>
      <c r="G123" s="13">
        <v>2</v>
      </c>
      <c r="H123" s="14">
        <f t="shared" si="4"/>
        <v>9.3023255813953487E-2</v>
      </c>
      <c r="I123" s="14">
        <f t="shared" si="5"/>
        <v>1.5</v>
      </c>
      <c r="J123" s="14">
        <f t="shared" si="6"/>
        <v>0.33333333333333331</v>
      </c>
      <c r="K123" s="14">
        <f t="shared" si="7"/>
        <v>4.6511627906976744E-2</v>
      </c>
    </row>
    <row r="124" spans="1:11" ht="15" customHeight="1" x14ac:dyDescent="0.25">
      <c r="A124" s="12" t="s">
        <v>85</v>
      </c>
      <c r="B124" s="12" t="s">
        <v>23</v>
      </c>
      <c r="C124" s="13">
        <v>42</v>
      </c>
      <c r="D124" s="13">
        <v>42</v>
      </c>
      <c r="E124" s="13">
        <v>9</v>
      </c>
      <c r="F124" s="13">
        <v>9</v>
      </c>
      <c r="G124" s="13">
        <v>4</v>
      </c>
      <c r="H124" s="14">
        <f t="shared" si="4"/>
        <v>0.21428571428571427</v>
      </c>
      <c r="I124" s="14">
        <f t="shared" si="5"/>
        <v>1</v>
      </c>
      <c r="J124" s="14">
        <f t="shared" si="6"/>
        <v>0.44444444444444442</v>
      </c>
      <c r="K124" s="14">
        <f t="shared" si="7"/>
        <v>9.5238095238095233E-2</v>
      </c>
    </row>
    <row r="125" spans="1:11" ht="15" customHeight="1" x14ac:dyDescent="0.25">
      <c r="A125" s="12" t="s">
        <v>86</v>
      </c>
      <c r="B125" s="12" t="s">
        <v>23</v>
      </c>
      <c r="C125" s="13">
        <v>41</v>
      </c>
      <c r="D125" s="13">
        <v>41</v>
      </c>
      <c r="E125" s="13">
        <v>7</v>
      </c>
      <c r="F125" s="13">
        <v>3</v>
      </c>
      <c r="G125" s="13">
        <v>3</v>
      </c>
      <c r="H125" s="14">
        <f t="shared" si="4"/>
        <v>0.17073170731707318</v>
      </c>
      <c r="I125" s="14">
        <f t="shared" si="5"/>
        <v>0.42857142857142855</v>
      </c>
      <c r="J125" s="14">
        <f t="shared" si="6"/>
        <v>1</v>
      </c>
      <c r="K125" s="14">
        <f t="shared" si="7"/>
        <v>7.3170731707317069E-2</v>
      </c>
    </row>
    <row r="126" spans="1:11" ht="15" customHeight="1" x14ac:dyDescent="0.25">
      <c r="A126" s="12" t="s">
        <v>87</v>
      </c>
      <c r="B126" s="12" t="s">
        <v>23</v>
      </c>
      <c r="C126" s="13">
        <v>36</v>
      </c>
      <c r="D126" s="13">
        <v>36</v>
      </c>
      <c r="E126" s="13">
        <v>9</v>
      </c>
      <c r="F126" s="13">
        <v>8</v>
      </c>
      <c r="G126" s="13">
        <v>2</v>
      </c>
      <c r="H126" s="14">
        <f t="shared" si="4"/>
        <v>0.25</v>
      </c>
      <c r="I126" s="14">
        <f t="shared" si="5"/>
        <v>0.88888888888888884</v>
      </c>
      <c r="J126" s="14">
        <f t="shared" si="6"/>
        <v>0.25</v>
      </c>
      <c r="K126" s="14">
        <f t="shared" si="7"/>
        <v>5.5555555555555552E-2</v>
      </c>
    </row>
    <row r="127" spans="1:11" ht="15" customHeight="1" x14ac:dyDescent="0.25">
      <c r="A127" s="12" t="s">
        <v>82</v>
      </c>
      <c r="B127" s="12" t="s">
        <v>24</v>
      </c>
      <c r="C127" s="13">
        <v>36</v>
      </c>
      <c r="D127" s="13">
        <v>36</v>
      </c>
      <c r="E127" s="13">
        <v>9</v>
      </c>
      <c r="F127" s="13">
        <v>7</v>
      </c>
      <c r="G127" s="13">
        <v>0</v>
      </c>
      <c r="H127" s="14">
        <f t="shared" si="4"/>
        <v>0.25</v>
      </c>
      <c r="I127" s="14">
        <f t="shared" si="5"/>
        <v>0.77777777777777779</v>
      </c>
      <c r="J127" s="14">
        <f t="shared" si="6"/>
        <v>0</v>
      </c>
      <c r="K127" s="14">
        <f t="shared" si="7"/>
        <v>0</v>
      </c>
    </row>
    <row r="128" spans="1:11" ht="15" customHeight="1" x14ac:dyDescent="0.25">
      <c r="A128" s="12" t="s">
        <v>88</v>
      </c>
      <c r="B128" s="12" t="s">
        <v>23</v>
      </c>
      <c r="C128" s="13">
        <v>35</v>
      </c>
      <c r="D128" s="13">
        <v>35</v>
      </c>
      <c r="E128" s="13">
        <v>5</v>
      </c>
      <c r="F128" s="13">
        <v>4</v>
      </c>
      <c r="G128" s="13">
        <v>1</v>
      </c>
      <c r="H128" s="14">
        <f t="shared" si="4"/>
        <v>0.14285714285714285</v>
      </c>
      <c r="I128" s="14">
        <f t="shared" si="5"/>
        <v>0.8</v>
      </c>
      <c r="J128" s="14">
        <f t="shared" si="6"/>
        <v>0.25</v>
      </c>
      <c r="K128" s="14">
        <f t="shared" si="7"/>
        <v>2.8571428571428571E-2</v>
      </c>
    </row>
    <row r="129" spans="1:11" ht="15" customHeight="1" x14ac:dyDescent="0.25">
      <c r="A129" s="12" t="s">
        <v>89</v>
      </c>
      <c r="B129" s="12" t="s">
        <v>23</v>
      </c>
      <c r="C129" s="13">
        <v>35</v>
      </c>
      <c r="D129" s="13">
        <v>35</v>
      </c>
      <c r="E129" s="13">
        <v>13</v>
      </c>
      <c r="F129" s="13">
        <v>4</v>
      </c>
      <c r="G129" s="13">
        <v>3</v>
      </c>
      <c r="H129" s="14">
        <f t="shared" si="4"/>
        <v>0.37142857142857144</v>
      </c>
      <c r="I129" s="14">
        <f t="shared" si="5"/>
        <v>0.30769230769230771</v>
      </c>
      <c r="J129" s="14">
        <f t="shared" si="6"/>
        <v>0.75</v>
      </c>
      <c r="K129" s="14">
        <f t="shared" si="7"/>
        <v>8.5714285714285715E-2</v>
      </c>
    </row>
    <row r="130" spans="1:11" ht="15" customHeight="1" x14ac:dyDescent="0.25">
      <c r="A130" s="12" t="s">
        <v>30</v>
      </c>
      <c r="B130" s="12" t="s">
        <v>31</v>
      </c>
      <c r="C130" s="13">
        <v>35</v>
      </c>
      <c r="D130" s="13">
        <v>35</v>
      </c>
      <c r="E130" s="13">
        <v>5</v>
      </c>
      <c r="F130" s="13">
        <v>5</v>
      </c>
      <c r="G130" s="13">
        <v>3</v>
      </c>
      <c r="H130" s="14">
        <f t="shared" ref="H130:H193" si="8">IFERROR(E130/D130,"")</f>
        <v>0.14285714285714285</v>
      </c>
      <c r="I130" s="14">
        <f t="shared" ref="I130:I193" si="9">IFERROR(F130/E130,"")</f>
        <v>1</v>
      </c>
      <c r="J130" s="14">
        <f t="shared" ref="J130:J193" si="10">IFERROR(G130/F130,"")</f>
        <v>0.6</v>
      </c>
      <c r="K130" s="14">
        <f t="shared" ref="K130:K193" si="11">IFERROR(G130/C130,"")</f>
        <v>8.5714285714285715E-2</v>
      </c>
    </row>
    <row r="131" spans="1:11" ht="15" customHeight="1" x14ac:dyDescent="0.25">
      <c r="A131" s="12" t="s">
        <v>88</v>
      </c>
      <c r="B131" s="12" t="s">
        <v>24</v>
      </c>
      <c r="C131" s="13">
        <v>33</v>
      </c>
      <c r="D131" s="13">
        <v>33</v>
      </c>
      <c r="E131" s="13">
        <v>3</v>
      </c>
      <c r="F131" s="13">
        <v>1</v>
      </c>
      <c r="G131" s="13">
        <v>1</v>
      </c>
      <c r="H131" s="14">
        <f t="shared" si="8"/>
        <v>9.0909090909090912E-2</v>
      </c>
      <c r="I131" s="14">
        <f t="shared" si="9"/>
        <v>0.33333333333333331</v>
      </c>
      <c r="J131" s="14">
        <f t="shared" si="10"/>
        <v>1</v>
      </c>
      <c r="K131" s="14">
        <f t="shared" si="11"/>
        <v>3.0303030303030304E-2</v>
      </c>
    </row>
    <row r="132" spans="1:11" ht="15" customHeight="1" x14ac:dyDescent="0.25">
      <c r="A132" s="12" t="s">
        <v>29</v>
      </c>
      <c r="B132" s="12" t="s">
        <v>31</v>
      </c>
      <c r="C132" s="13">
        <v>33</v>
      </c>
      <c r="D132" s="13">
        <v>32</v>
      </c>
      <c r="E132" s="13">
        <v>3</v>
      </c>
      <c r="F132" s="13">
        <v>3</v>
      </c>
      <c r="G132" s="13">
        <v>3</v>
      </c>
      <c r="H132" s="14">
        <f t="shared" si="8"/>
        <v>9.375E-2</v>
      </c>
      <c r="I132" s="14">
        <f t="shared" si="9"/>
        <v>1</v>
      </c>
      <c r="J132" s="14">
        <f t="shared" si="10"/>
        <v>1</v>
      </c>
      <c r="K132" s="14">
        <f t="shared" si="11"/>
        <v>9.0909090909090912E-2</v>
      </c>
    </row>
    <row r="133" spans="1:11" ht="15" customHeight="1" x14ac:dyDescent="0.25">
      <c r="A133" s="12" t="s">
        <v>81</v>
      </c>
      <c r="B133" s="12" t="s">
        <v>24</v>
      </c>
      <c r="C133" s="13">
        <v>33</v>
      </c>
      <c r="D133" s="13">
        <v>33</v>
      </c>
      <c r="E133" s="13">
        <v>6</v>
      </c>
      <c r="F133" s="13">
        <v>3</v>
      </c>
      <c r="G133" s="13">
        <v>1</v>
      </c>
      <c r="H133" s="14">
        <f t="shared" si="8"/>
        <v>0.18181818181818182</v>
      </c>
      <c r="I133" s="14">
        <f t="shared" si="9"/>
        <v>0.5</v>
      </c>
      <c r="J133" s="14">
        <f t="shared" si="10"/>
        <v>0.33333333333333331</v>
      </c>
      <c r="K133" s="14">
        <f t="shared" si="11"/>
        <v>3.0303030303030304E-2</v>
      </c>
    </row>
    <row r="134" spans="1:11" ht="15" customHeight="1" x14ac:dyDescent="0.25">
      <c r="A134" s="12" t="s">
        <v>90</v>
      </c>
      <c r="B134" s="12" t="s">
        <v>23</v>
      </c>
      <c r="C134" s="13">
        <v>31</v>
      </c>
      <c r="D134" s="13">
        <v>31</v>
      </c>
      <c r="E134" s="13">
        <v>9</v>
      </c>
      <c r="F134" s="13">
        <v>5</v>
      </c>
      <c r="G134" s="13">
        <v>4</v>
      </c>
      <c r="H134" s="14">
        <f t="shared" si="8"/>
        <v>0.29032258064516131</v>
      </c>
      <c r="I134" s="14">
        <f t="shared" si="9"/>
        <v>0.55555555555555558</v>
      </c>
      <c r="J134" s="14">
        <f t="shared" si="10"/>
        <v>0.8</v>
      </c>
      <c r="K134" s="14">
        <f t="shared" si="11"/>
        <v>0.12903225806451613</v>
      </c>
    </row>
    <row r="135" spans="1:11" ht="15" customHeight="1" x14ac:dyDescent="0.25">
      <c r="A135" s="12" t="s">
        <v>91</v>
      </c>
      <c r="B135" s="12" t="s">
        <v>23</v>
      </c>
      <c r="C135" s="13">
        <v>31</v>
      </c>
      <c r="D135" s="13">
        <v>31</v>
      </c>
      <c r="E135" s="13">
        <v>3</v>
      </c>
      <c r="F135" s="13">
        <v>3</v>
      </c>
      <c r="G135" s="13">
        <v>1</v>
      </c>
      <c r="H135" s="14">
        <f t="shared" si="8"/>
        <v>9.6774193548387094E-2</v>
      </c>
      <c r="I135" s="14">
        <f t="shared" si="9"/>
        <v>1</v>
      </c>
      <c r="J135" s="14">
        <f t="shared" si="10"/>
        <v>0.33333333333333331</v>
      </c>
      <c r="K135" s="14">
        <f t="shared" si="11"/>
        <v>3.2258064516129031E-2</v>
      </c>
    </row>
    <row r="136" spans="1:11" ht="15" customHeight="1" x14ac:dyDescent="0.25">
      <c r="A136" s="12" t="s">
        <v>34</v>
      </c>
      <c r="B136" s="12" t="s">
        <v>31</v>
      </c>
      <c r="C136" s="13">
        <v>29</v>
      </c>
      <c r="D136" s="13">
        <v>29</v>
      </c>
      <c r="E136" s="13">
        <v>4</v>
      </c>
      <c r="F136" s="13">
        <v>3</v>
      </c>
      <c r="G136" s="13">
        <v>0</v>
      </c>
      <c r="H136" s="14">
        <f t="shared" si="8"/>
        <v>0.13793103448275862</v>
      </c>
      <c r="I136" s="14">
        <f t="shared" si="9"/>
        <v>0.75</v>
      </c>
      <c r="J136" s="14">
        <f t="shared" si="10"/>
        <v>0</v>
      </c>
      <c r="K136" s="14">
        <f t="shared" si="11"/>
        <v>0</v>
      </c>
    </row>
    <row r="137" spans="1:11" ht="15" customHeight="1" x14ac:dyDescent="0.25">
      <c r="A137" s="12" t="s">
        <v>92</v>
      </c>
      <c r="B137" s="12" t="s">
        <v>23</v>
      </c>
      <c r="C137" s="13">
        <v>29</v>
      </c>
      <c r="D137" s="13">
        <v>29</v>
      </c>
      <c r="E137" s="13">
        <v>6</v>
      </c>
      <c r="F137" s="13">
        <v>5</v>
      </c>
      <c r="G137" s="13">
        <v>2</v>
      </c>
      <c r="H137" s="14">
        <f t="shared" si="8"/>
        <v>0.20689655172413793</v>
      </c>
      <c r="I137" s="14">
        <f t="shared" si="9"/>
        <v>0.83333333333333337</v>
      </c>
      <c r="J137" s="14">
        <f t="shared" si="10"/>
        <v>0.4</v>
      </c>
      <c r="K137" s="14">
        <f t="shared" si="11"/>
        <v>6.8965517241379309E-2</v>
      </c>
    </row>
    <row r="138" spans="1:11" ht="15" customHeight="1" x14ac:dyDescent="0.25">
      <c r="A138" s="12" t="s">
        <v>32</v>
      </c>
      <c r="B138" s="12" t="s">
        <v>31</v>
      </c>
      <c r="C138" s="13">
        <v>28</v>
      </c>
      <c r="D138" s="13">
        <v>28</v>
      </c>
      <c r="E138" s="13">
        <v>5</v>
      </c>
      <c r="F138" s="13">
        <v>3</v>
      </c>
      <c r="G138" s="13">
        <v>2</v>
      </c>
      <c r="H138" s="14">
        <f t="shared" si="8"/>
        <v>0.17857142857142858</v>
      </c>
      <c r="I138" s="14">
        <f t="shared" si="9"/>
        <v>0.6</v>
      </c>
      <c r="J138" s="14">
        <f t="shared" si="10"/>
        <v>0.66666666666666663</v>
      </c>
      <c r="K138" s="14">
        <f t="shared" si="11"/>
        <v>7.1428571428571425E-2</v>
      </c>
    </row>
    <row r="139" spans="1:11" ht="15" customHeight="1" x14ac:dyDescent="0.25">
      <c r="A139" s="12" t="s">
        <v>90</v>
      </c>
      <c r="B139" s="12" t="s">
        <v>24</v>
      </c>
      <c r="C139" s="13">
        <v>28</v>
      </c>
      <c r="D139" s="13">
        <v>28</v>
      </c>
      <c r="E139" s="13">
        <v>5</v>
      </c>
      <c r="F139" s="13">
        <v>7</v>
      </c>
      <c r="G139" s="13">
        <v>5</v>
      </c>
      <c r="H139" s="14">
        <f t="shared" si="8"/>
        <v>0.17857142857142858</v>
      </c>
      <c r="I139" s="14">
        <f t="shared" si="9"/>
        <v>1.4</v>
      </c>
      <c r="J139" s="14">
        <f t="shared" si="10"/>
        <v>0.7142857142857143</v>
      </c>
      <c r="K139" s="14">
        <f t="shared" si="11"/>
        <v>0.17857142857142858</v>
      </c>
    </row>
    <row r="140" spans="1:11" ht="15" customHeight="1" x14ac:dyDescent="0.25">
      <c r="A140" s="12" t="s">
        <v>86</v>
      </c>
      <c r="B140" s="12" t="s">
        <v>24</v>
      </c>
      <c r="C140" s="13">
        <v>27</v>
      </c>
      <c r="D140" s="13">
        <v>27</v>
      </c>
      <c r="E140" s="13">
        <v>4</v>
      </c>
      <c r="F140" s="13">
        <v>4</v>
      </c>
      <c r="G140" s="13">
        <v>2</v>
      </c>
      <c r="H140" s="14">
        <f t="shared" si="8"/>
        <v>0.14814814814814814</v>
      </c>
      <c r="I140" s="14">
        <f t="shared" si="9"/>
        <v>1</v>
      </c>
      <c r="J140" s="14">
        <f t="shared" si="10"/>
        <v>0.5</v>
      </c>
      <c r="K140" s="14">
        <f t="shared" si="11"/>
        <v>7.407407407407407E-2</v>
      </c>
    </row>
    <row r="141" spans="1:11" ht="15" customHeight="1" x14ac:dyDescent="0.25">
      <c r="A141" s="12" t="s">
        <v>33</v>
      </c>
      <c r="B141" s="12" t="s">
        <v>31</v>
      </c>
      <c r="C141" s="13">
        <v>27</v>
      </c>
      <c r="D141" s="13">
        <v>26</v>
      </c>
      <c r="E141" s="13">
        <v>6</v>
      </c>
      <c r="F141" s="13">
        <v>3</v>
      </c>
      <c r="G141" s="13">
        <v>3</v>
      </c>
      <c r="H141" s="14">
        <f t="shared" si="8"/>
        <v>0.23076923076923078</v>
      </c>
      <c r="I141" s="14">
        <f t="shared" si="9"/>
        <v>0.5</v>
      </c>
      <c r="J141" s="14">
        <f t="shared" si="10"/>
        <v>1</v>
      </c>
      <c r="K141" s="14">
        <f t="shared" si="11"/>
        <v>0.1111111111111111</v>
      </c>
    </row>
    <row r="142" spans="1:11" ht="15" customHeight="1" x14ac:dyDescent="0.25">
      <c r="A142" s="12" t="s">
        <v>93</v>
      </c>
      <c r="B142" s="12" t="s">
        <v>23</v>
      </c>
      <c r="C142" s="13">
        <v>27</v>
      </c>
      <c r="D142" s="13">
        <v>27</v>
      </c>
      <c r="E142" s="13">
        <v>5</v>
      </c>
      <c r="F142" s="13">
        <v>5</v>
      </c>
      <c r="G142" s="13">
        <v>1</v>
      </c>
      <c r="H142" s="14">
        <f t="shared" si="8"/>
        <v>0.18518518518518517</v>
      </c>
      <c r="I142" s="14">
        <f t="shared" si="9"/>
        <v>1</v>
      </c>
      <c r="J142" s="14">
        <f t="shared" si="10"/>
        <v>0.2</v>
      </c>
      <c r="K142" s="14">
        <f t="shared" si="11"/>
        <v>3.7037037037037035E-2</v>
      </c>
    </row>
    <row r="143" spans="1:11" ht="15" customHeight="1" x14ac:dyDescent="0.25">
      <c r="A143" s="12" t="s">
        <v>94</v>
      </c>
      <c r="B143" s="12" t="s">
        <v>23</v>
      </c>
      <c r="C143" s="13">
        <v>26</v>
      </c>
      <c r="D143" s="13">
        <v>26</v>
      </c>
      <c r="E143" s="13">
        <v>7</v>
      </c>
      <c r="F143" s="13">
        <v>3</v>
      </c>
      <c r="G143" s="13">
        <v>1</v>
      </c>
      <c r="H143" s="14">
        <f t="shared" si="8"/>
        <v>0.26923076923076922</v>
      </c>
      <c r="I143" s="14">
        <f t="shared" si="9"/>
        <v>0.42857142857142855</v>
      </c>
      <c r="J143" s="14">
        <f t="shared" si="10"/>
        <v>0.33333333333333331</v>
      </c>
      <c r="K143" s="14">
        <f t="shared" si="11"/>
        <v>3.8461538461538464E-2</v>
      </c>
    </row>
    <row r="144" spans="1:11" ht="15" customHeight="1" x14ac:dyDescent="0.25">
      <c r="A144" s="12" t="s">
        <v>28</v>
      </c>
      <c r="B144" s="12" t="s">
        <v>31</v>
      </c>
      <c r="C144" s="13">
        <v>26</v>
      </c>
      <c r="D144" s="13">
        <v>26</v>
      </c>
      <c r="E144" s="13">
        <v>4</v>
      </c>
      <c r="F144" s="13">
        <v>5</v>
      </c>
      <c r="G144" s="13">
        <v>1</v>
      </c>
      <c r="H144" s="14">
        <f t="shared" si="8"/>
        <v>0.15384615384615385</v>
      </c>
      <c r="I144" s="14">
        <f t="shared" si="9"/>
        <v>1.25</v>
      </c>
      <c r="J144" s="14">
        <f t="shared" si="10"/>
        <v>0.2</v>
      </c>
      <c r="K144" s="14">
        <f t="shared" si="11"/>
        <v>3.8461538461538464E-2</v>
      </c>
    </row>
    <row r="145" spans="1:11" ht="15" customHeight="1" x14ac:dyDescent="0.25">
      <c r="A145" s="12" t="s">
        <v>95</v>
      </c>
      <c r="B145" s="12" t="s">
        <v>23</v>
      </c>
      <c r="C145" s="13">
        <v>25</v>
      </c>
      <c r="D145" s="13">
        <v>25</v>
      </c>
      <c r="E145" s="13">
        <v>2</v>
      </c>
      <c r="F145" s="13">
        <v>4</v>
      </c>
      <c r="G145" s="13">
        <v>1</v>
      </c>
      <c r="H145" s="14">
        <f t="shared" si="8"/>
        <v>0.08</v>
      </c>
      <c r="I145" s="14">
        <f t="shared" si="9"/>
        <v>2</v>
      </c>
      <c r="J145" s="14">
        <f t="shared" si="10"/>
        <v>0.25</v>
      </c>
      <c r="K145" s="14">
        <f t="shared" si="11"/>
        <v>0.04</v>
      </c>
    </row>
    <row r="146" spans="1:11" ht="15" customHeight="1" x14ac:dyDescent="0.25">
      <c r="A146" s="12" t="s">
        <v>96</v>
      </c>
      <c r="B146" s="12" t="s">
        <v>23</v>
      </c>
      <c r="C146" s="13">
        <v>25</v>
      </c>
      <c r="D146" s="13">
        <v>25</v>
      </c>
      <c r="E146" s="13">
        <v>7</v>
      </c>
      <c r="F146" s="13">
        <v>7</v>
      </c>
      <c r="G146" s="13">
        <v>3</v>
      </c>
      <c r="H146" s="14">
        <f t="shared" si="8"/>
        <v>0.28000000000000003</v>
      </c>
      <c r="I146" s="14">
        <f t="shared" si="9"/>
        <v>1</v>
      </c>
      <c r="J146" s="14">
        <f t="shared" si="10"/>
        <v>0.42857142857142855</v>
      </c>
      <c r="K146" s="14">
        <f t="shared" si="11"/>
        <v>0.12</v>
      </c>
    </row>
    <row r="147" spans="1:11" ht="15" customHeight="1" x14ac:dyDescent="0.25">
      <c r="A147" s="12" t="s">
        <v>97</v>
      </c>
      <c r="B147" s="12" t="s">
        <v>23</v>
      </c>
      <c r="C147" s="13">
        <v>24</v>
      </c>
      <c r="D147" s="13">
        <v>24</v>
      </c>
      <c r="E147" s="13">
        <v>8</v>
      </c>
      <c r="F147" s="13">
        <v>6</v>
      </c>
      <c r="G147" s="13">
        <v>2</v>
      </c>
      <c r="H147" s="14">
        <f t="shared" si="8"/>
        <v>0.33333333333333331</v>
      </c>
      <c r="I147" s="14">
        <f t="shared" si="9"/>
        <v>0.75</v>
      </c>
      <c r="J147" s="14">
        <f t="shared" si="10"/>
        <v>0.33333333333333331</v>
      </c>
      <c r="K147" s="14">
        <f t="shared" si="11"/>
        <v>8.3333333333333329E-2</v>
      </c>
    </row>
    <row r="148" spans="1:11" ht="15" customHeight="1" x14ac:dyDescent="0.25">
      <c r="A148" s="12" t="s">
        <v>87</v>
      </c>
      <c r="B148" s="12" t="s">
        <v>24</v>
      </c>
      <c r="C148" s="13">
        <v>24</v>
      </c>
      <c r="D148" s="13">
        <v>24</v>
      </c>
      <c r="E148" s="13">
        <v>8</v>
      </c>
      <c r="F148" s="13">
        <v>5</v>
      </c>
      <c r="G148" s="13">
        <v>2</v>
      </c>
      <c r="H148" s="14">
        <f t="shared" si="8"/>
        <v>0.33333333333333331</v>
      </c>
      <c r="I148" s="14">
        <f t="shared" si="9"/>
        <v>0.625</v>
      </c>
      <c r="J148" s="14">
        <f t="shared" si="10"/>
        <v>0.4</v>
      </c>
      <c r="K148" s="14">
        <f t="shared" si="11"/>
        <v>8.3333333333333329E-2</v>
      </c>
    </row>
    <row r="149" spans="1:11" ht="15" customHeight="1" x14ac:dyDescent="0.25">
      <c r="A149" s="12" t="s">
        <v>35</v>
      </c>
      <c r="B149" s="12" t="s">
        <v>31</v>
      </c>
      <c r="C149" s="13">
        <v>23</v>
      </c>
      <c r="D149" s="13">
        <v>23</v>
      </c>
      <c r="E149" s="13">
        <v>7</v>
      </c>
      <c r="F149" s="13">
        <v>5</v>
      </c>
      <c r="G149" s="13">
        <v>1</v>
      </c>
      <c r="H149" s="14">
        <f t="shared" si="8"/>
        <v>0.30434782608695654</v>
      </c>
      <c r="I149" s="14">
        <f t="shared" si="9"/>
        <v>0.7142857142857143</v>
      </c>
      <c r="J149" s="14">
        <f t="shared" si="10"/>
        <v>0.2</v>
      </c>
      <c r="K149" s="14">
        <f t="shared" si="11"/>
        <v>4.3478260869565216E-2</v>
      </c>
    </row>
    <row r="150" spans="1:11" ht="15" customHeight="1" x14ac:dyDescent="0.25">
      <c r="A150" s="12" t="s">
        <v>84</v>
      </c>
      <c r="B150" s="12" t="s">
        <v>24</v>
      </c>
      <c r="C150" s="13">
        <v>22</v>
      </c>
      <c r="D150" s="13">
        <v>22</v>
      </c>
      <c r="E150" s="13">
        <v>3</v>
      </c>
      <c r="F150" s="13">
        <v>1</v>
      </c>
      <c r="G150" s="13">
        <v>0</v>
      </c>
      <c r="H150" s="14">
        <f t="shared" si="8"/>
        <v>0.13636363636363635</v>
      </c>
      <c r="I150" s="14">
        <f t="shared" si="9"/>
        <v>0.33333333333333331</v>
      </c>
      <c r="J150" s="14">
        <f t="shared" si="10"/>
        <v>0</v>
      </c>
      <c r="K150" s="14">
        <f t="shared" si="11"/>
        <v>0</v>
      </c>
    </row>
    <row r="151" spans="1:11" ht="15" customHeight="1" x14ac:dyDescent="0.25">
      <c r="A151" s="12" t="s">
        <v>98</v>
      </c>
      <c r="B151" s="12" t="s">
        <v>23</v>
      </c>
      <c r="C151" s="13">
        <v>22</v>
      </c>
      <c r="D151" s="13">
        <v>21</v>
      </c>
      <c r="E151" s="13">
        <v>5</v>
      </c>
      <c r="F151" s="13">
        <v>4</v>
      </c>
      <c r="G151" s="13">
        <v>1</v>
      </c>
      <c r="H151" s="14">
        <f t="shared" si="8"/>
        <v>0.23809523809523808</v>
      </c>
      <c r="I151" s="14">
        <f t="shared" si="9"/>
        <v>0.8</v>
      </c>
      <c r="J151" s="14">
        <f t="shared" si="10"/>
        <v>0.25</v>
      </c>
      <c r="K151" s="14">
        <f t="shared" si="11"/>
        <v>4.5454545454545456E-2</v>
      </c>
    </row>
    <row r="152" spans="1:11" ht="15" customHeight="1" x14ac:dyDescent="0.25">
      <c r="A152" s="12" t="s">
        <v>99</v>
      </c>
      <c r="B152" s="12" t="s">
        <v>23</v>
      </c>
      <c r="C152" s="13">
        <v>22</v>
      </c>
      <c r="D152" s="13">
        <v>22</v>
      </c>
      <c r="E152" s="13">
        <v>6</v>
      </c>
      <c r="F152" s="13">
        <v>3</v>
      </c>
      <c r="G152" s="13">
        <v>0</v>
      </c>
      <c r="H152" s="14">
        <f t="shared" si="8"/>
        <v>0.27272727272727271</v>
      </c>
      <c r="I152" s="14">
        <f t="shared" si="9"/>
        <v>0.5</v>
      </c>
      <c r="J152" s="14">
        <f t="shared" si="10"/>
        <v>0</v>
      </c>
      <c r="K152" s="14">
        <f t="shared" si="11"/>
        <v>0</v>
      </c>
    </row>
    <row r="153" spans="1:11" x14ac:dyDescent="0.25">
      <c r="A153" t="s">
        <v>95</v>
      </c>
      <c r="B153" t="s">
        <v>24</v>
      </c>
      <c r="C153">
        <v>22</v>
      </c>
      <c r="D153">
        <v>22</v>
      </c>
      <c r="E153">
        <v>1</v>
      </c>
      <c r="F153">
        <v>3</v>
      </c>
      <c r="G153">
        <v>2</v>
      </c>
      <c r="H153">
        <f t="shared" si="8"/>
        <v>4.5454545454545456E-2</v>
      </c>
      <c r="I153">
        <f t="shared" si="9"/>
        <v>3</v>
      </c>
      <c r="J153">
        <f t="shared" si="10"/>
        <v>0.66666666666666663</v>
      </c>
      <c r="K153">
        <f t="shared" si="11"/>
        <v>9.0909090909090912E-2</v>
      </c>
    </row>
    <row r="154" spans="1:11" x14ac:dyDescent="0.25">
      <c r="A154" t="s">
        <v>100</v>
      </c>
      <c r="B154" t="s">
        <v>23</v>
      </c>
      <c r="C154">
        <v>21</v>
      </c>
      <c r="D154">
        <v>21</v>
      </c>
      <c r="E154">
        <v>7</v>
      </c>
      <c r="F154">
        <v>4</v>
      </c>
      <c r="G154">
        <v>3</v>
      </c>
      <c r="H154">
        <f t="shared" si="8"/>
        <v>0.33333333333333331</v>
      </c>
      <c r="I154">
        <f t="shared" si="9"/>
        <v>0.5714285714285714</v>
      </c>
      <c r="J154">
        <f t="shared" si="10"/>
        <v>0.75</v>
      </c>
      <c r="K154">
        <f t="shared" si="11"/>
        <v>0.14285714285714285</v>
      </c>
    </row>
    <row r="155" spans="1:11" x14ac:dyDescent="0.25">
      <c r="A155" t="s">
        <v>85</v>
      </c>
      <c r="B155" t="s">
        <v>24</v>
      </c>
      <c r="C155">
        <v>21</v>
      </c>
      <c r="D155">
        <v>21</v>
      </c>
      <c r="E155">
        <v>2</v>
      </c>
      <c r="F155">
        <v>2</v>
      </c>
      <c r="G155">
        <v>0</v>
      </c>
      <c r="H155">
        <f t="shared" si="8"/>
        <v>9.5238095238095233E-2</v>
      </c>
      <c r="I155">
        <f t="shared" si="9"/>
        <v>1</v>
      </c>
      <c r="J155">
        <f t="shared" si="10"/>
        <v>0</v>
      </c>
      <c r="K155">
        <f t="shared" si="11"/>
        <v>0</v>
      </c>
    </row>
    <row r="156" spans="1:11" x14ac:dyDescent="0.25">
      <c r="A156" t="s">
        <v>101</v>
      </c>
      <c r="B156" t="s">
        <v>23</v>
      </c>
      <c r="C156">
        <v>20</v>
      </c>
      <c r="D156">
        <v>20</v>
      </c>
      <c r="E156">
        <v>3</v>
      </c>
      <c r="F156">
        <v>0</v>
      </c>
      <c r="G156">
        <v>0</v>
      </c>
      <c r="H156">
        <f t="shared" si="8"/>
        <v>0.15</v>
      </c>
      <c r="I156">
        <f t="shared" si="9"/>
        <v>0</v>
      </c>
      <c r="J156" t="str">
        <f t="shared" si="10"/>
        <v/>
      </c>
      <c r="K156">
        <f t="shared" si="11"/>
        <v>0</v>
      </c>
    </row>
    <row r="157" spans="1:11" x14ac:dyDescent="0.25">
      <c r="A157" t="s">
        <v>96</v>
      </c>
      <c r="B157" t="s">
        <v>24</v>
      </c>
      <c r="C157">
        <v>20</v>
      </c>
      <c r="D157">
        <v>19</v>
      </c>
      <c r="E157">
        <v>3</v>
      </c>
      <c r="F157">
        <v>3</v>
      </c>
      <c r="G157">
        <v>1</v>
      </c>
      <c r="H157">
        <f t="shared" si="8"/>
        <v>0.15789473684210525</v>
      </c>
      <c r="I157">
        <f t="shared" si="9"/>
        <v>1</v>
      </c>
      <c r="J157">
        <f t="shared" si="10"/>
        <v>0.33333333333333331</v>
      </c>
      <c r="K157">
        <f t="shared" si="11"/>
        <v>0.05</v>
      </c>
    </row>
    <row r="158" spans="1:11" x14ac:dyDescent="0.25">
      <c r="A158" t="s">
        <v>89</v>
      </c>
      <c r="B158" t="s">
        <v>24</v>
      </c>
      <c r="C158">
        <v>19</v>
      </c>
      <c r="D158">
        <v>19</v>
      </c>
      <c r="E158">
        <v>3</v>
      </c>
      <c r="F158">
        <v>3</v>
      </c>
      <c r="G158">
        <v>2</v>
      </c>
      <c r="H158">
        <f t="shared" si="8"/>
        <v>0.15789473684210525</v>
      </c>
      <c r="I158">
        <f t="shared" si="9"/>
        <v>1</v>
      </c>
      <c r="J158">
        <f t="shared" si="10"/>
        <v>0.66666666666666663</v>
      </c>
      <c r="K158">
        <f t="shared" si="11"/>
        <v>0.10526315789473684</v>
      </c>
    </row>
    <row r="159" spans="1:11" x14ac:dyDescent="0.25">
      <c r="A159" t="s">
        <v>93</v>
      </c>
      <c r="B159" t="s">
        <v>24</v>
      </c>
      <c r="C159">
        <v>19</v>
      </c>
      <c r="D159">
        <v>18</v>
      </c>
      <c r="E159">
        <v>4</v>
      </c>
      <c r="F159">
        <v>6</v>
      </c>
      <c r="G159">
        <v>3</v>
      </c>
      <c r="H159">
        <f t="shared" si="8"/>
        <v>0.22222222222222221</v>
      </c>
      <c r="I159">
        <f t="shared" si="9"/>
        <v>1.5</v>
      </c>
      <c r="J159">
        <f t="shared" si="10"/>
        <v>0.5</v>
      </c>
      <c r="K159">
        <f t="shared" si="11"/>
        <v>0.15789473684210525</v>
      </c>
    </row>
    <row r="160" spans="1:11" x14ac:dyDescent="0.25">
      <c r="A160" t="s">
        <v>102</v>
      </c>
      <c r="B160" t="s">
        <v>23</v>
      </c>
      <c r="C160">
        <v>19</v>
      </c>
      <c r="D160">
        <v>19</v>
      </c>
      <c r="E160">
        <v>5</v>
      </c>
      <c r="F160">
        <v>5</v>
      </c>
      <c r="G160">
        <v>3</v>
      </c>
      <c r="H160">
        <f t="shared" si="8"/>
        <v>0.26315789473684209</v>
      </c>
      <c r="I160">
        <f t="shared" si="9"/>
        <v>1</v>
      </c>
      <c r="J160">
        <f t="shared" si="10"/>
        <v>0.6</v>
      </c>
      <c r="K160">
        <f t="shared" si="11"/>
        <v>0.15789473684210525</v>
      </c>
    </row>
    <row r="161" spans="1:11" x14ac:dyDescent="0.25">
      <c r="A161" t="s">
        <v>103</v>
      </c>
      <c r="B161" t="s">
        <v>23</v>
      </c>
      <c r="C161">
        <v>19</v>
      </c>
      <c r="D161">
        <v>19</v>
      </c>
      <c r="E161">
        <v>2</v>
      </c>
      <c r="F161">
        <v>4</v>
      </c>
      <c r="G161">
        <v>4</v>
      </c>
      <c r="H161">
        <f t="shared" si="8"/>
        <v>0.10526315789473684</v>
      </c>
      <c r="I161">
        <f t="shared" si="9"/>
        <v>2</v>
      </c>
      <c r="J161">
        <f t="shared" si="10"/>
        <v>1</v>
      </c>
      <c r="K161">
        <f t="shared" si="11"/>
        <v>0.21052631578947367</v>
      </c>
    </row>
    <row r="162" spans="1:11" x14ac:dyDescent="0.25">
      <c r="A162" t="s">
        <v>104</v>
      </c>
      <c r="B162" t="s">
        <v>24</v>
      </c>
      <c r="C162">
        <v>19</v>
      </c>
      <c r="D162">
        <v>19</v>
      </c>
      <c r="E162">
        <v>2</v>
      </c>
      <c r="F162">
        <v>0</v>
      </c>
      <c r="G162">
        <v>0</v>
      </c>
      <c r="H162">
        <f t="shared" si="8"/>
        <v>0.10526315789473684</v>
      </c>
      <c r="I162">
        <f t="shared" si="9"/>
        <v>0</v>
      </c>
      <c r="J162" t="str">
        <f t="shared" si="10"/>
        <v/>
      </c>
      <c r="K162">
        <f t="shared" si="11"/>
        <v>0</v>
      </c>
    </row>
    <row r="163" spans="1:11" x14ac:dyDescent="0.25">
      <c r="A163" t="s">
        <v>105</v>
      </c>
      <c r="B163" t="s">
        <v>23</v>
      </c>
      <c r="C163">
        <v>19</v>
      </c>
      <c r="D163">
        <v>19</v>
      </c>
      <c r="E163">
        <v>3</v>
      </c>
      <c r="F163">
        <v>3</v>
      </c>
      <c r="G163">
        <v>2</v>
      </c>
      <c r="H163">
        <f t="shared" si="8"/>
        <v>0.15789473684210525</v>
      </c>
      <c r="I163">
        <f t="shared" si="9"/>
        <v>1</v>
      </c>
      <c r="J163">
        <f t="shared" si="10"/>
        <v>0.66666666666666663</v>
      </c>
      <c r="K163">
        <f t="shared" si="11"/>
        <v>0.10526315789473684</v>
      </c>
    </row>
    <row r="164" spans="1:11" x14ac:dyDescent="0.25">
      <c r="A164" t="s">
        <v>100</v>
      </c>
      <c r="B164" t="s">
        <v>24</v>
      </c>
      <c r="C164">
        <v>18</v>
      </c>
      <c r="D164">
        <v>18</v>
      </c>
      <c r="E164">
        <v>4</v>
      </c>
      <c r="F164">
        <v>5</v>
      </c>
      <c r="G164">
        <v>1</v>
      </c>
      <c r="H164">
        <f t="shared" si="8"/>
        <v>0.22222222222222221</v>
      </c>
      <c r="I164">
        <f t="shared" si="9"/>
        <v>1.25</v>
      </c>
      <c r="J164">
        <f t="shared" si="10"/>
        <v>0.2</v>
      </c>
      <c r="K164">
        <f t="shared" si="11"/>
        <v>5.5555555555555552E-2</v>
      </c>
    </row>
    <row r="165" spans="1:11" x14ac:dyDescent="0.25">
      <c r="A165" t="s">
        <v>42</v>
      </c>
      <c r="B165" t="s">
        <v>31</v>
      </c>
      <c r="C165">
        <v>18</v>
      </c>
      <c r="D165">
        <v>18</v>
      </c>
      <c r="E165">
        <v>3</v>
      </c>
      <c r="F165">
        <v>2</v>
      </c>
      <c r="G165">
        <v>1</v>
      </c>
      <c r="H165">
        <f t="shared" si="8"/>
        <v>0.16666666666666666</v>
      </c>
      <c r="I165">
        <f t="shared" si="9"/>
        <v>0.66666666666666663</v>
      </c>
      <c r="J165">
        <f t="shared" si="10"/>
        <v>0.5</v>
      </c>
      <c r="K165">
        <f t="shared" si="11"/>
        <v>5.5555555555555552E-2</v>
      </c>
    </row>
    <row r="166" spans="1:11" x14ac:dyDescent="0.25">
      <c r="A166" t="s">
        <v>106</v>
      </c>
      <c r="B166" t="s">
        <v>23</v>
      </c>
      <c r="C166">
        <v>18</v>
      </c>
      <c r="D166">
        <v>18</v>
      </c>
      <c r="E166">
        <v>2</v>
      </c>
      <c r="F166">
        <v>6</v>
      </c>
      <c r="G166">
        <v>1</v>
      </c>
      <c r="H166">
        <f t="shared" si="8"/>
        <v>0.1111111111111111</v>
      </c>
      <c r="I166">
        <f t="shared" si="9"/>
        <v>3</v>
      </c>
      <c r="J166">
        <f t="shared" si="10"/>
        <v>0.16666666666666666</v>
      </c>
      <c r="K166">
        <f t="shared" si="11"/>
        <v>5.5555555555555552E-2</v>
      </c>
    </row>
    <row r="167" spans="1:11" x14ac:dyDescent="0.25">
      <c r="A167" t="s">
        <v>107</v>
      </c>
      <c r="B167" t="s">
        <v>23</v>
      </c>
      <c r="C167">
        <v>18</v>
      </c>
      <c r="D167">
        <v>18</v>
      </c>
      <c r="E167">
        <v>6</v>
      </c>
      <c r="F167">
        <v>1</v>
      </c>
      <c r="G167">
        <v>1</v>
      </c>
      <c r="H167">
        <f t="shared" si="8"/>
        <v>0.33333333333333331</v>
      </c>
      <c r="I167">
        <f t="shared" si="9"/>
        <v>0.16666666666666666</v>
      </c>
      <c r="J167">
        <f t="shared" si="10"/>
        <v>1</v>
      </c>
      <c r="K167">
        <f t="shared" si="11"/>
        <v>5.5555555555555552E-2</v>
      </c>
    </row>
    <row r="168" spans="1:11" x14ac:dyDescent="0.25">
      <c r="A168" t="s">
        <v>108</v>
      </c>
      <c r="B168" t="s">
        <v>23</v>
      </c>
      <c r="C168">
        <v>18</v>
      </c>
      <c r="D168">
        <v>18</v>
      </c>
      <c r="E168">
        <v>3</v>
      </c>
      <c r="F168">
        <v>2</v>
      </c>
      <c r="G168">
        <v>1</v>
      </c>
      <c r="H168">
        <f t="shared" si="8"/>
        <v>0.16666666666666666</v>
      </c>
      <c r="I168">
        <f t="shared" si="9"/>
        <v>0.66666666666666663</v>
      </c>
      <c r="J168">
        <f t="shared" si="10"/>
        <v>0.5</v>
      </c>
      <c r="K168">
        <f t="shared" si="11"/>
        <v>5.5555555555555552E-2</v>
      </c>
    </row>
    <row r="169" spans="1:11" x14ac:dyDescent="0.25">
      <c r="A169" t="s">
        <v>39</v>
      </c>
      <c r="B169" t="s">
        <v>31</v>
      </c>
      <c r="C169">
        <v>17</v>
      </c>
      <c r="D169">
        <v>17</v>
      </c>
      <c r="E169">
        <v>1</v>
      </c>
      <c r="F169">
        <v>1</v>
      </c>
      <c r="G169">
        <v>0</v>
      </c>
      <c r="H169">
        <f t="shared" si="8"/>
        <v>5.8823529411764705E-2</v>
      </c>
      <c r="I169">
        <f t="shared" si="9"/>
        <v>1</v>
      </c>
      <c r="J169">
        <f t="shared" si="10"/>
        <v>0</v>
      </c>
      <c r="K169">
        <f t="shared" si="11"/>
        <v>0</v>
      </c>
    </row>
    <row r="170" spans="1:11" x14ac:dyDescent="0.25">
      <c r="A170" t="s">
        <v>109</v>
      </c>
      <c r="B170" t="s">
        <v>23</v>
      </c>
      <c r="C170">
        <v>17</v>
      </c>
      <c r="D170">
        <v>17</v>
      </c>
      <c r="E170">
        <v>2</v>
      </c>
      <c r="F170">
        <v>1</v>
      </c>
      <c r="G170">
        <v>0</v>
      </c>
      <c r="H170">
        <f t="shared" si="8"/>
        <v>0.11764705882352941</v>
      </c>
      <c r="I170">
        <f t="shared" si="9"/>
        <v>0.5</v>
      </c>
      <c r="J170">
        <f t="shared" si="10"/>
        <v>0</v>
      </c>
      <c r="K170">
        <f t="shared" si="11"/>
        <v>0</v>
      </c>
    </row>
    <row r="171" spans="1:11" x14ac:dyDescent="0.25">
      <c r="A171" t="s">
        <v>38</v>
      </c>
      <c r="B171" t="s">
        <v>31</v>
      </c>
      <c r="C171">
        <v>17</v>
      </c>
      <c r="D171">
        <v>16</v>
      </c>
      <c r="E171">
        <v>6</v>
      </c>
      <c r="F171">
        <v>7</v>
      </c>
      <c r="G171">
        <v>3</v>
      </c>
      <c r="H171">
        <f t="shared" si="8"/>
        <v>0.375</v>
      </c>
      <c r="I171">
        <f t="shared" si="9"/>
        <v>1.1666666666666667</v>
      </c>
      <c r="J171">
        <f t="shared" si="10"/>
        <v>0.42857142857142855</v>
      </c>
      <c r="K171">
        <f t="shared" si="11"/>
        <v>0.17647058823529413</v>
      </c>
    </row>
    <row r="172" spans="1:11" x14ac:dyDescent="0.25">
      <c r="A172" t="s">
        <v>97</v>
      </c>
      <c r="B172" t="s">
        <v>24</v>
      </c>
      <c r="C172">
        <v>17</v>
      </c>
      <c r="D172">
        <v>17</v>
      </c>
      <c r="E172">
        <v>3</v>
      </c>
      <c r="F172">
        <v>4</v>
      </c>
      <c r="G172">
        <v>3</v>
      </c>
      <c r="H172">
        <f t="shared" si="8"/>
        <v>0.17647058823529413</v>
      </c>
      <c r="I172">
        <f t="shared" si="9"/>
        <v>1.3333333333333333</v>
      </c>
      <c r="J172">
        <f t="shared" si="10"/>
        <v>0.75</v>
      </c>
      <c r="K172">
        <f t="shared" si="11"/>
        <v>0.17647058823529413</v>
      </c>
    </row>
    <row r="173" spans="1:11" x14ac:dyDescent="0.25">
      <c r="A173" t="s">
        <v>110</v>
      </c>
      <c r="B173" t="s">
        <v>24</v>
      </c>
      <c r="C173">
        <v>16</v>
      </c>
      <c r="D173">
        <v>16</v>
      </c>
      <c r="E173">
        <v>2</v>
      </c>
      <c r="F173">
        <v>4</v>
      </c>
      <c r="G173">
        <v>1</v>
      </c>
      <c r="H173">
        <f t="shared" si="8"/>
        <v>0.125</v>
      </c>
      <c r="I173">
        <f t="shared" si="9"/>
        <v>2</v>
      </c>
      <c r="J173">
        <f t="shared" si="10"/>
        <v>0.25</v>
      </c>
      <c r="K173">
        <f t="shared" si="11"/>
        <v>6.25E-2</v>
      </c>
    </row>
    <row r="174" spans="1:11" x14ac:dyDescent="0.25">
      <c r="A174" t="s">
        <v>92</v>
      </c>
      <c r="B174" t="s">
        <v>24</v>
      </c>
      <c r="C174">
        <v>16</v>
      </c>
      <c r="D174">
        <v>16</v>
      </c>
      <c r="E174">
        <v>5</v>
      </c>
      <c r="F174">
        <v>3</v>
      </c>
      <c r="G174">
        <v>2</v>
      </c>
      <c r="H174">
        <f t="shared" si="8"/>
        <v>0.3125</v>
      </c>
      <c r="I174">
        <f t="shared" si="9"/>
        <v>0.6</v>
      </c>
      <c r="J174">
        <f t="shared" si="10"/>
        <v>0.66666666666666663</v>
      </c>
      <c r="K174">
        <f t="shared" si="11"/>
        <v>0.125</v>
      </c>
    </row>
    <row r="175" spans="1:11" x14ac:dyDescent="0.25">
      <c r="A175" t="s">
        <v>111</v>
      </c>
      <c r="B175" t="s">
        <v>23</v>
      </c>
      <c r="C175">
        <v>16</v>
      </c>
      <c r="D175">
        <v>16</v>
      </c>
      <c r="E175">
        <v>0</v>
      </c>
      <c r="F175">
        <v>1</v>
      </c>
      <c r="G175">
        <v>0</v>
      </c>
      <c r="H175">
        <f t="shared" si="8"/>
        <v>0</v>
      </c>
      <c r="I175" t="str">
        <f t="shared" si="9"/>
        <v/>
      </c>
      <c r="J175">
        <f t="shared" si="10"/>
        <v>0</v>
      </c>
      <c r="K175">
        <f t="shared" si="11"/>
        <v>0</v>
      </c>
    </row>
    <row r="176" spans="1:11" x14ac:dyDescent="0.25">
      <c r="A176" t="s">
        <v>112</v>
      </c>
      <c r="B176" t="s">
        <v>23</v>
      </c>
      <c r="C176">
        <v>16</v>
      </c>
      <c r="D176">
        <v>16</v>
      </c>
      <c r="E176">
        <v>4</v>
      </c>
      <c r="F176">
        <v>2</v>
      </c>
      <c r="G176">
        <v>0</v>
      </c>
      <c r="H176">
        <f t="shared" si="8"/>
        <v>0.25</v>
      </c>
      <c r="I176">
        <f t="shared" si="9"/>
        <v>0.5</v>
      </c>
      <c r="J176">
        <f t="shared" si="10"/>
        <v>0</v>
      </c>
      <c r="K176">
        <f t="shared" si="11"/>
        <v>0</v>
      </c>
    </row>
    <row r="177" spans="1:11" x14ac:dyDescent="0.25">
      <c r="A177" t="s">
        <v>37</v>
      </c>
      <c r="B177" t="s">
        <v>31</v>
      </c>
      <c r="C177">
        <v>16</v>
      </c>
      <c r="D177">
        <v>16</v>
      </c>
      <c r="E177">
        <v>5</v>
      </c>
      <c r="F177">
        <v>3</v>
      </c>
      <c r="G177">
        <v>0</v>
      </c>
      <c r="H177">
        <f t="shared" si="8"/>
        <v>0.3125</v>
      </c>
      <c r="I177">
        <f t="shared" si="9"/>
        <v>0.6</v>
      </c>
      <c r="J177">
        <f t="shared" si="10"/>
        <v>0</v>
      </c>
      <c r="K177">
        <f t="shared" si="11"/>
        <v>0</v>
      </c>
    </row>
    <row r="178" spans="1:11" x14ac:dyDescent="0.25">
      <c r="A178" t="s">
        <v>36</v>
      </c>
      <c r="B178" t="s">
        <v>31</v>
      </c>
      <c r="C178">
        <v>16</v>
      </c>
      <c r="D178">
        <v>16</v>
      </c>
      <c r="E178">
        <v>4</v>
      </c>
      <c r="F178">
        <v>1</v>
      </c>
      <c r="G178">
        <v>1</v>
      </c>
      <c r="H178">
        <f t="shared" si="8"/>
        <v>0.25</v>
      </c>
      <c r="I178">
        <f t="shared" si="9"/>
        <v>0.25</v>
      </c>
      <c r="J178">
        <f t="shared" si="10"/>
        <v>1</v>
      </c>
      <c r="K178">
        <f t="shared" si="11"/>
        <v>6.25E-2</v>
      </c>
    </row>
    <row r="179" spans="1:11" x14ac:dyDescent="0.25">
      <c r="A179" t="s">
        <v>113</v>
      </c>
      <c r="B179" t="s">
        <v>23</v>
      </c>
      <c r="C179">
        <v>15</v>
      </c>
      <c r="D179">
        <v>15</v>
      </c>
      <c r="E179">
        <v>4</v>
      </c>
      <c r="F179">
        <v>1</v>
      </c>
      <c r="G179">
        <v>1</v>
      </c>
      <c r="H179">
        <f t="shared" si="8"/>
        <v>0.26666666666666666</v>
      </c>
      <c r="I179">
        <f t="shared" si="9"/>
        <v>0.25</v>
      </c>
      <c r="J179">
        <f t="shared" si="10"/>
        <v>1</v>
      </c>
      <c r="K179">
        <f t="shared" si="11"/>
        <v>6.6666666666666666E-2</v>
      </c>
    </row>
    <row r="180" spans="1:11" x14ac:dyDescent="0.25">
      <c r="A180" t="s">
        <v>105</v>
      </c>
      <c r="B180" t="s">
        <v>24</v>
      </c>
      <c r="C180">
        <v>15</v>
      </c>
      <c r="D180">
        <v>15</v>
      </c>
      <c r="E180">
        <v>4</v>
      </c>
      <c r="F180">
        <v>5</v>
      </c>
      <c r="G180">
        <v>2</v>
      </c>
      <c r="H180">
        <f t="shared" si="8"/>
        <v>0.26666666666666666</v>
      </c>
      <c r="I180">
        <f t="shared" si="9"/>
        <v>1.25</v>
      </c>
      <c r="J180">
        <f t="shared" si="10"/>
        <v>0.4</v>
      </c>
      <c r="K180">
        <f t="shared" si="11"/>
        <v>0.13333333333333333</v>
      </c>
    </row>
    <row r="181" spans="1:11" x14ac:dyDescent="0.25">
      <c r="A181" t="s">
        <v>41</v>
      </c>
      <c r="B181" t="s">
        <v>31</v>
      </c>
      <c r="C181">
        <v>15</v>
      </c>
      <c r="D181">
        <v>15</v>
      </c>
      <c r="E181">
        <v>6</v>
      </c>
      <c r="F181">
        <v>4</v>
      </c>
      <c r="G181">
        <v>3</v>
      </c>
      <c r="H181">
        <f t="shared" si="8"/>
        <v>0.4</v>
      </c>
      <c r="I181">
        <f t="shared" si="9"/>
        <v>0.66666666666666663</v>
      </c>
      <c r="J181">
        <f t="shared" si="10"/>
        <v>0.75</v>
      </c>
      <c r="K181">
        <f t="shared" si="11"/>
        <v>0.2</v>
      </c>
    </row>
    <row r="182" spans="1:11" x14ac:dyDescent="0.25">
      <c r="A182" t="s">
        <v>94</v>
      </c>
      <c r="B182" t="s">
        <v>24</v>
      </c>
      <c r="C182">
        <v>15</v>
      </c>
      <c r="D182">
        <v>15</v>
      </c>
      <c r="E182">
        <v>2</v>
      </c>
      <c r="F182">
        <v>1</v>
      </c>
      <c r="G182">
        <v>1</v>
      </c>
      <c r="H182">
        <f t="shared" si="8"/>
        <v>0.13333333333333333</v>
      </c>
      <c r="I182">
        <f t="shared" si="9"/>
        <v>0.5</v>
      </c>
      <c r="J182">
        <f t="shared" si="10"/>
        <v>1</v>
      </c>
      <c r="K182">
        <f t="shared" si="11"/>
        <v>6.6666666666666666E-2</v>
      </c>
    </row>
    <row r="183" spans="1:11" x14ac:dyDescent="0.25">
      <c r="A183" t="s">
        <v>114</v>
      </c>
      <c r="B183" t="s">
        <v>24</v>
      </c>
      <c r="C183">
        <v>15</v>
      </c>
      <c r="D183">
        <v>15</v>
      </c>
      <c r="E183">
        <v>8</v>
      </c>
      <c r="F183">
        <v>5</v>
      </c>
      <c r="G183">
        <v>1</v>
      </c>
      <c r="H183">
        <f t="shared" si="8"/>
        <v>0.53333333333333333</v>
      </c>
      <c r="I183">
        <f t="shared" si="9"/>
        <v>0.625</v>
      </c>
      <c r="J183">
        <f t="shared" si="10"/>
        <v>0.2</v>
      </c>
      <c r="K183">
        <f t="shared" si="11"/>
        <v>6.6666666666666666E-2</v>
      </c>
    </row>
    <row r="184" spans="1:11" x14ac:dyDescent="0.25">
      <c r="A184" t="s">
        <v>108</v>
      </c>
      <c r="B184" t="s">
        <v>24</v>
      </c>
      <c r="C184">
        <v>15</v>
      </c>
      <c r="D184">
        <v>15</v>
      </c>
      <c r="E184">
        <v>3</v>
      </c>
      <c r="F184">
        <v>1</v>
      </c>
      <c r="G184">
        <v>0</v>
      </c>
      <c r="H184">
        <f t="shared" si="8"/>
        <v>0.2</v>
      </c>
      <c r="I184">
        <f t="shared" si="9"/>
        <v>0.33333333333333331</v>
      </c>
      <c r="J184">
        <f t="shared" si="10"/>
        <v>0</v>
      </c>
      <c r="K184">
        <f t="shared" si="11"/>
        <v>0</v>
      </c>
    </row>
    <row r="185" spans="1:11" x14ac:dyDescent="0.25">
      <c r="A185" t="s">
        <v>115</v>
      </c>
      <c r="B185" t="s">
        <v>23</v>
      </c>
      <c r="C185">
        <v>15</v>
      </c>
      <c r="D185">
        <v>15</v>
      </c>
      <c r="E185">
        <v>2</v>
      </c>
      <c r="F185">
        <v>3</v>
      </c>
      <c r="G185">
        <v>0</v>
      </c>
      <c r="H185">
        <f t="shared" si="8"/>
        <v>0.13333333333333333</v>
      </c>
      <c r="I185">
        <f t="shared" si="9"/>
        <v>1.5</v>
      </c>
      <c r="J185">
        <f t="shared" si="10"/>
        <v>0</v>
      </c>
      <c r="K185">
        <f t="shared" si="11"/>
        <v>0</v>
      </c>
    </row>
    <row r="186" spans="1:11" x14ac:dyDescent="0.25">
      <c r="A186" t="s">
        <v>116</v>
      </c>
      <c r="B186" t="s">
        <v>23</v>
      </c>
      <c r="C186">
        <v>15</v>
      </c>
      <c r="D186">
        <v>15</v>
      </c>
      <c r="E186">
        <v>4</v>
      </c>
      <c r="F186">
        <v>2</v>
      </c>
      <c r="G186">
        <v>1</v>
      </c>
      <c r="H186">
        <f t="shared" si="8"/>
        <v>0.26666666666666666</v>
      </c>
      <c r="I186">
        <f t="shared" si="9"/>
        <v>0.5</v>
      </c>
      <c r="J186">
        <f t="shared" si="10"/>
        <v>0.5</v>
      </c>
      <c r="K186">
        <f t="shared" si="11"/>
        <v>6.6666666666666666E-2</v>
      </c>
    </row>
    <row r="187" spans="1:11" x14ac:dyDescent="0.25">
      <c r="A187" t="s">
        <v>40</v>
      </c>
      <c r="B187" t="s">
        <v>31</v>
      </c>
      <c r="C187">
        <v>14</v>
      </c>
      <c r="D187">
        <v>14</v>
      </c>
      <c r="E187">
        <v>2</v>
      </c>
      <c r="F187">
        <v>2</v>
      </c>
      <c r="G187">
        <v>1</v>
      </c>
      <c r="H187">
        <f t="shared" si="8"/>
        <v>0.14285714285714285</v>
      </c>
      <c r="I187">
        <f t="shared" si="9"/>
        <v>1</v>
      </c>
      <c r="J187">
        <f t="shared" si="10"/>
        <v>0.5</v>
      </c>
      <c r="K187">
        <f t="shared" si="11"/>
        <v>7.1428571428571425E-2</v>
      </c>
    </row>
    <row r="188" spans="1:11" x14ac:dyDescent="0.25">
      <c r="A188" t="s">
        <v>104</v>
      </c>
      <c r="B188" t="s">
        <v>23</v>
      </c>
      <c r="C188">
        <v>14</v>
      </c>
      <c r="D188">
        <v>14</v>
      </c>
      <c r="E188">
        <v>6</v>
      </c>
      <c r="F188">
        <v>4</v>
      </c>
      <c r="G188">
        <v>3</v>
      </c>
      <c r="H188">
        <f t="shared" si="8"/>
        <v>0.42857142857142855</v>
      </c>
      <c r="I188">
        <f t="shared" si="9"/>
        <v>0.66666666666666663</v>
      </c>
      <c r="J188">
        <f t="shared" si="10"/>
        <v>0.75</v>
      </c>
      <c r="K188">
        <f t="shared" si="11"/>
        <v>0.21428571428571427</v>
      </c>
    </row>
    <row r="189" spans="1:11" x14ac:dyDescent="0.25">
      <c r="A189" t="s">
        <v>117</v>
      </c>
      <c r="B189" t="s">
        <v>24</v>
      </c>
      <c r="C189">
        <v>14</v>
      </c>
      <c r="D189">
        <v>14</v>
      </c>
      <c r="E189">
        <v>2</v>
      </c>
      <c r="F189">
        <v>1</v>
      </c>
      <c r="G189">
        <v>0</v>
      </c>
      <c r="H189">
        <f t="shared" si="8"/>
        <v>0.14285714285714285</v>
      </c>
      <c r="I189">
        <f t="shared" si="9"/>
        <v>0.5</v>
      </c>
      <c r="J189">
        <f t="shared" si="10"/>
        <v>0</v>
      </c>
      <c r="K189">
        <f t="shared" si="11"/>
        <v>0</v>
      </c>
    </row>
    <row r="190" spans="1:11" x14ac:dyDescent="0.25">
      <c r="A190" t="s">
        <v>101</v>
      </c>
      <c r="B190" t="s">
        <v>24</v>
      </c>
      <c r="C190">
        <v>14</v>
      </c>
      <c r="D190">
        <v>14</v>
      </c>
      <c r="E190">
        <v>2</v>
      </c>
      <c r="F190">
        <v>2</v>
      </c>
      <c r="G190">
        <v>2</v>
      </c>
      <c r="H190">
        <f t="shared" si="8"/>
        <v>0.14285714285714285</v>
      </c>
      <c r="I190">
        <f t="shared" si="9"/>
        <v>1</v>
      </c>
      <c r="J190">
        <f t="shared" si="10"/>
        <v>1</v>
      </c>
      <c r="K190">
        <f t="shared" si="11"/>
        <v>0.14285714285714285</v>
      </c>
    </row>
    <row r="191" spans="1:11" x14ac:dyDescent="0.25">
      <c r="A191" t="s">
        <v>118</v>
      </c>
      <c r="B191" t="s">
        <v>23</v>
      </c>
      <c r="C191">
        <v>14</v>
      </c>
      <c r="D191">
        <v>14</v>
      </c>
      <c r="E191">
        <v>2</v>
      </c>
      <c r="F191">
        <v>3</v>
      </c>
      <c r="G191">
        <v>0</v>
      </c>
      <c r="H191">
        <f t="shared" si="8"/>
        <v>0.14285714285714285</v>
      </c>
      <c r="I191">
        <f t="shared" si="9"/>
        <v>1.5</v>
      </c>
      <c r="J191">
        <f t="shared" si="10"/>
        <v>0</v>
      </c>
      <c r="K191">
        <f t="shared" si="11"/>
        <v>0</v>
      </c>
    </row>
    <row r="192" spans="1:11" x14ac:dyDescent="0.25">
      <c r="A192" t="s">
        <v>91</v>
      </c>
      <c r="B192" t="s">
        <v>24</v>
      </c>
      <c r="C192">
        <v>14</v>
      </c>
      <c r="D192">
        <v>14</v>
      </c>
      <c r="E192">
        <v>0</v>
      </c>
      <c r="F192">
        <v>0</v>
      </c>
      <c r="G192">
        <v>0</v>
      </c>
      <c r="H192">
        <f t="shared" si="8"/>
        <v>0</v>
      </c>
      <c r="I192" t="str">
        <f t="shared" si="9"/>
        <v/>
      </c>
      <c r="J192" t="str">
        <f t="shared" si="10"/>
        <v/>
      </c>
      <c r="K192">
        <f t="shared" si="11"/>
        <v>0</v>
      </c>
    </row>
    <row r="193" spans="1:11" x14ac:dyDescent="0.25">
      <c r="A193" t="s">
        <v>112</v>
      </c>
      <c r="B193" t="s">
        <v>24</v>
      </c>
      <c r="C193">
        <v>14</v>
      </c>
      <c r="D193">
        <v>14</v>
      </c>
      <c r="E193">
        <v>4</v>
      </c>
      <c r="F193">
        <v>0</v>
      </c>
      <c r="G193">
        <v>0</v>
      </c>
      <c r="H193">
        <f t="shared" si="8"/>
        <v>0.2857142857142857</v>
      </c>
      <c r="I193">
        <f t="shared" si="9"/>
        <v>0</v>
      </c>
      <c r="J193" t="str">
        <f t="shared" si="10"/>
        <v/>
      </c>
      <c r="K193">
        <f t="shared" si="11"/>
        <v>0</v>
      </c>
    </row>
    <row r="194" spans="1:11" x14ac:dyDescent="0.25">
      <c r="A194" t="s">
        <v>119</v>
      </c>
      <c r="B194" t="s">
        <v>23</v>
      </c>
      <c r="C194">
        <v>14</v>
      </c>
      <c r="D194">
        <v>14</v>
      </c>
      <c r="E194">
        <v>3</v>
      </c>
      <c r="F194">
        <v>4</v>
      </c>
      <c r="G194">
        <v>4</v>
      </c>
      <c r="H194">
        <f t="shared" ref="H194:H257" si="12">IFERROR(E194/D194,"")</f>
        <v>0.21428571428571427</v>
      </c>
      <c r="I194">
        <f t="shared" ref="I194:I257" si="13">IFERROR(F194/E194,"")</f>
        <v>1.3333333333333333</v>
      </c>
      <c r="J194">
        <f t="shared" ref="J194:J257" si="14">IFERROR(G194/F194,"")</f>
        <v>1</v>
      </c>
      <c r="K194">
        <f t="shared" ref="K194:K257" si="15">IFERROR(G194/C194,"")</f>
        <v>0.2857142857142857</v>
      </c>
    </row>
    <row r="195" spans="1:11" x14ac:dyDescent="0.25">
      <c r="A195" t="s">
        <v>120</v>
      </c>
      <c r="B195" t="s">
        <v>23</v>
      </c>
      <c r="C195">
        <v>13</v>
      </c>
      <c r="D195">
        <v>13</v>
      </c>
      <c r="E195">
        <v>2</v>
      </c>
      <c r="F195">
        <v>0</v>
      </c>
      <c r="G195">
        <v>0</v>
      </c>
      <c r="H195">
        <f t="shared" si="12"/>
        <v>0.15384615384615385</v>
      </c>
      <c r="I195">
        <f t="shared" si="13"/>
        <v>0</v>
      </c>
      <c r="J195" t="str">
        <f t="shared" si="14"/>
        <v/>
      </c>
      <c r="K195">
        <f t="shared" si="15"/>
        <v>0</v>
      </c>
    </row>
    <row r="196" spans="1:11" x14ac:dyDescent="0.25">
      <c r="A196" t="s">
        <v>53</v>
      </c>
      <c r="B196" t="s">
        <v>31</v>
      </c>
      <c r="C196">
        <v>13</v>
      </c>
      <c r="D196">
        <v>13</v>
      </c>
      <c r="E196">
        <v>6</v>
      </c>
      <c r="F196">
        <v>4</v>
      </c>
      <c r="G196">
        <v>3</v>
      </c>
      <c r="H196">
        <f t="shared" si="12"/>
        <v>0.46153846153846156</v>
      </c>
      <c r="I196">
        <f t="shared" si="13"/>
        <v>0.66666666666666663</v>
      </c>
      <c r="J196">
        <f t="shared" si="14"/>
        <v>0.75</v>
      </c>
      <c r="K196">
        <f t="shared" si="15"/>
        <v>0.23076923076923078</v>
      </c>
    </row>
    <row r="197" spans="1:11" x14ac:dyDescent="0.25">
      <c r="A197" t="s">
        <v>47</v>
      </c>
      <c r="B197" t="s">
        <v>31</v>
      </c>
      <c r="C197">
        <v>13</v>
      </c>
      <c r="D197">
        <v>13</v>
      </c>
      <c r="E197">
        <v>3</v>
      </c>
      <c r="F197">
        <v>3</v>
      </c>
      <c r="G197">
        <v>2</v>
      </c>
      <c r="H197">
        <f t="shared" si="12"/>
        <v>0.23076923076923078</v>
      </c>
      <c r="I197">
        <f t="shared" si="13"/>
        <v>1</v>
      </c>
      <c r="J197">
        <f t="shared" si="14"/>
        <v>0.66666666666666663</v>
      </c>
      <c r="K197">
        <f t="shared" si="15"/>
        <v>0.15384615384615385</v>
      </c>
    </row>
    <row r="198" spans="1:11" x14ac:dyDescent="0.25">
      <c r="A198" t="s">
        <v>121</v>
      </c>
      <c r="B198" t="s">
        <v>23</v>
      </c>
      <c r="C198">
        <v>13</v>
      </c>
      <c r="D198">
        <v>12</v>
      </c>
      <c r="E198">
        <v>2</v>
      </c>
      <c r="F198">
        <v>2</v>
      </c>
      <c r="G198">
        <v>0</v>
      </c>
      <c r="H198">
        <f t="shared" si="12"/>
        <v>0.16666666666666666</v>
      </c>
      <c r="I198">
        <f t="shared" si="13"/>
        <v>1</v>
      </c>
      <c r="J198">
        <f t="shared" si="14"/>
        <v>0</v>
      </c>
      <c r="K198">
        <f t="shared" si="15"/>
        <v>0</v>
      </c>
    </row>
    <row r="199" spans="1:11" x14ac:dyDescent="0.25">
      <c r="A199" t="s">
        <v>99</v>
      </c>
      <c r="B199" t="s">
        <v>24</v>
      </c>
      <c r="C199">
        <v>13</v>
      </c>
      <c r="D199">
        <v>13</v>
      </c>
      <c r="E199">
        <v>2</v>
      </c>
      <c r="F199">
        <v>3</v>
      </c>
      <c r="G199">
        <v>1</v>
      </c>
      <c r="H199">
        <f t="shared" si="12"/>
        <v>0.15384615384615385</v>
      </c>
      <c r="I199">
        <f t="shared" si="13"/>
        <v>1.5</v>
      </c>
      <c r="J199">
        <f t="shared" si="14"/>
        <v>0.33333333333333331</v>
      </c>
      <c r="K199">
        <f t="shared" si="15"/>
        <v>7.6923076923076927E-2</v>
      </c>
    </row>
    <row r="200" spans="1:11" x14ac:dyDescent="0.25">
      <c r="A200" t="s">
        <v>122</v>
      </c>
      <c r="B200" t="s">
        <v>23</v>
      </c>
      <c r="C200">
        <v>12</v>
      </c>
      <c r="D200">
        <v>12</v>
      </c>
      <c r="E200">
        <v>1</v>
      </c>
      <c r="F200">
        <v>1</v>
      </c>
      <c r="G200">
        <v>1</v>
      </c>
      <c r="H200">
        <f t="shared" si="12"/>
        <v>8.3333333333333329E-2</v>
      </c>
      <c r="I200">
        <f t="shared" si="13"/>
        <v>1</v>
      </c>
      <c r="J200">
        <f t="shared" si="14"/>
        <v>1</v>
      </c>
      <c r="K200">
        <f t="shared" si="15"/>
        <v>8.3333333333333329E-2</v>
      </c>
    </row>
    <row r="201" spans="1:11" x14ac:dyDescent="0.25">
      <c r="A201" t="s">
        <v>98</v>
      </c>
      <c r="B201" t="s">
        <v>24</v>
      </c>
      <c r="C201">
        <v>12</v>
      </c>
      <c r="D201">
        <v>12</v>
      </c>
      <c r="E201">
        <v>3</v>
      </c>
      <c r="F201">
        <v>5</v>
      </c>
      <c r="G201">
        <v>0</v>
      </c>
      <c r="H201">
        <f t="shared" si="12"/>
        <v>0.25</v>
      </c>
      <c r="I201">
        <f t="shared" si="13"/>
        <v>1.6666666666666667</v>
      </c>
      <c r="J201">
        <f t="shared" si="14"/>
        <v>0</v>
      </c>
      <c r="K201">
        <f t="shared" si="15"/>
        <v>0</v>
      </c>
    </row>
    <row r="202" spans="1:11" x14ac:dyDescent="0.25">
      <c r="A202" t="s">
        <v>123</v>
      </c>
      <c r="B202" t="s">
        <v>23</v>
      </c>
      <c r="C202">
        <v>12</v>
      </c>
      <c r="D202">
        <v>12</v>
      </c>
      <c r="E202">
        <v>1</v>
      </c>
      <c r="F202">
        <v>2</v>
      </c>
      <c r="G202">
        <v>1</v>
      </c>
      <c r="H202">
        <f t="shared" si="12"/>
        <v>8.3333333333333329E-2</v>
      </c>
      <c r="I202">
        <f t="shared" si="13"/>
        <v>2</v>
      </c>
      <c r="J202">
        <f t="shared" si="14"/>
        <v>0.5</v>
      </c>
      <c r="K202">
        <f t="shared" si="15"/>
        <v>8.3333333333333329E-2</v>
      </c>
    </row>
    <row r="203" spans="1:11" x14ac:dyDescent="0.25">
      <c r="A203" t="s">
        <v>117</v>
      </c>
      <c r="B203" t="s">
        <v>23</v>
      </c>
      <c r="C203">
        <v>12</v>
      </c>
      <c r="D203">
        <v>12</v>
      </c>
      <c r="E203">
        <v>0</v>
      </c>
      <c r="F203">
        <v>3</v>
      </c>
      <c r="G203">
        <v>0</v>
      </c>
      <c r="H203">
        <f t="shared" si="12"/>
        <v>0</v>
      </c>
      <c r="I203" t="str">
        <f t="shared" si="13"/>
        <v/>
      </c>
      <c r="J203">
        <f t="shared" si="14"/>
        <v>0</v>
      </c>
      <c r="K203">
        <f t="shared" si="15"/>
        <v>0</v>
      </c>
    </row>
    <row r="204" spans="1:11" x14ac:dyDescent="0.25">
      <c r="A204" t="s">
        <v>63</v>
      </c>
      <c r="B204" t="s">
        <v>31</v>
      </c>
      <c r="C204">
        <v>12</v>
      </c>
      <c r="D204">
        <v>12</v>
      </c>
      <c r="E204">
        <v>1</v>
      </c>
      <c r="F204">
        <v>2</v>
      </c>
      <c r="G204">
        <v>2</v>
      </c>
      <c r="H204">
        <f t="shared" si="12"/>
        <v>8.3333333333333329E-2</v>
      </c>
      <c r="I204">
        <f t="shared" si="13"/>
        <v>2</v>
      </c>
      <c r="J204">
        <f t="shared" si="14"/>
        <v>1</v>
      </c>
      <c r="K204">
        <f t="shared" si="15"/>
        <v>0.16666666666666666</v>
      </c>
    </row>
    <row r="205" spans="1:11" x14ac:dyDescent="0.25">
      <c r="A205" t="s">
        <v>44</v>
      </c>
      <c r="B205" t="s">
        <v>31</v>
      </c>
      <c r="C205">
        <v>12</v>
      </c>
      <c r="D205">
        <v>12</v>
      </c>
      <c r="E205">
        <v>2</v>
      </c>
      <c r="F205">
        <v>1</v>
      </c>
      <c r="G205">
        <v>0</v>
      </c>
      <c r="H205">
        <f t="shared" si="12"/>
        <v>0.16666666666666666</v>
      </c>
      <c r="I205">
        <f t="shared" si="13"/>
        <v>0.5</v>
      </c>
      <c r="J205">
        <f t="shared" si="14"/>
        <v>0</v>
      </c>
      <c r="K205">
        <f t="shared" si="15"/>
        <v>0</v>
      </c>
    </row>
    <row r="206" spans="1:11" x14ac:dyDescent="0.25">
      <c r="A206" t="s">
        <v>48</v>
      </c>
      <c r="B206" t="s">
        <v>31</v>
      </c>
      <c r="C206">
        <v>12</v>
      </c>
      <c r="D206">
        <v>12</v>
      </c>
      <c r="E206">
        <v>2</v>
      </c>
      <c r="F206">
        <v>0</v>
      </c>
      <c r="G206">
        <v>0</v>
      </c>
      <c r="H206">
        <f t="shared" si="12"/>
        <v>0.16666666666666666</v>
      </c>
      <c r="I206">
        <f t="shared" si="13"/>
        <v>0</v>
      </c>
      <c r="J206" t="str">
        <f t="shared" si="14"/>
        <v/>
      </c>
      <c r="K206">
        <f t="shared" si="15"/>
        <v>0</v>
      </c>
    </row>
    <row r="207" spans="1:11" x14ac:dyDescent="0.25">
      <c r="A207" t="s">
        <v>121</v>
      </c>
      <c r="B207" t="s">
        <v>24</v>
      </c>
      <c r="C207">
        <v>11</v>
      </c>
      <c r="D207">
        <v>11</v>
      </c>
      <c r="E207">
        <v>1</v>
      </c>
      <c r="F207">
        <v>1</v>
      </c>
      <c r="G207">
        <v>0</v>
      </c>
      <c r="H207">
        <f t="shared" si="12"/>
        <v>9.0909090909090912E-2</v>
      </c>
      <c r="I207">
        <f t="shared" si="13"/>
        <v>1</v>
      </c>
      <c r="J207">
        <f t="shared" si="14"/>
        <v>0</v>
      </c>
      <c r="K207">
        <f t="shared" si="15"/>
        <v>0</v>
      </c>
    </row>
    <row r="208" spans="1:11" x14ac:dyDescent="0.25">
      <c r="A208" t="s">
        <v>115</v>
      </c>
      <c r="B208" t="s">
        <v>24</v>
      </c>
      <c r="C208">
        <v>11</v>
      </c>
      <c r="D208">
        <v>11</v>
      </c>
      <c r="E208">
        <v>5</v>
      </c>
      <c r="F208">
        <v>1</v>
      </c>
      <c r="G208">
        <v>1</v>
      </c>
      <c r="H208">
        <f t="shared" si="12"/>
        <v>0.45454545454545453</v>
      </c>
      <c r="I208">
        <f t="shared" si="13"/>
        <v>0.2</v>
      </c>
      <c r="J208">
        <f t="shared" si="14"/>
        <v>1</v>
      </c>
      <c r="K208">
        <f t="shared" si="15"/>
        <v>9.0909090909090912E-2</v>
      </c>
    </row>
    <row r="209" spans="1:11" x14ac:dyDescent="0.25">
      <c r="A209" t="s">
        <v>43</v>
      </c>
      <c r="B209" t="s">
        <v>31</v>
      </c>
      <c r="C209">
        <v>11</v>
      </c>
      <c r="D209">
        <v>11</v>
      </c>
      <c r="E209">
        <v>3</v>
      </c>
      <c r="F209">
        <v>1</v>
      </c>
      <c r="G209">
        <v>0</v>
      </c>
      <c r="H209">
        <f t="shared" si="12"/>
        <v>0.27272727272727271</v>
      </c>
      <c r="I209">
        <f t="shared" si="13"/>
        <v>0.33333333333333331</v>
      </c>
      <c r="J209">
        <f t="shared" si="14"/>
        <v>0</v>
      </c>
      <c r="K209">
        <f t="shared" si="15"/>
        <v>0</v>
      </c>
    </row>
    <row r="210" spans="1:11" x14ac:dyDescent="0.25">
      <c r="A210" t="s">
        <v>50</v>
      </c>
      <c r="B210" t="s">
        <v>31</v>
      </c>
      <c r="C210">
        <v>11</v>
      </c>
      <c r="D210">
        <v>11</v>
      </c>
      <c r="E210">
        <v>2</v>
      </c>
      <c r="F210">
        <v>3</v>
      </c>
      <c r="G210">
        <v>0</v>
      </c>
      <c r="H210">
        <f t="shared" si="12"/>
        <v>0.18181818181818182</v>
      </c>
      <c r="I210">
        <f t="shared" si="13"/>
        <v>1.5</v>
      </c>
      <c r="J210">
        <f t="shared" si="14"/>
        <v>0</v>
      </c>
      <c r="K210">
        <f t="shared" si="15"/>
        <v>0</v>
      </c>
    </row>
    <row r="211" spans="1:11" x14ac:dyDescent="0.25">
      <c r="A211" t="s">
        <v>55</v>
      </c>
      <c r="B211" t="s">
        <v>31</v>
      </c>
      <c r="C211">
        <v>10</v>
      </c>
      <c r="D211">
        <v>10</v>
      </c>
      <c r="E211">
        <v>0</v>
      </c>
      <c r="F211">
        <v>1</v>
      </c>
      <c r="G211">
        <v>1</v>
      </c>
      <c r="H211">
        <f t="shared" si="12"/>
        <v>0</v>
      </c>
      <c r="I211" t="str">
        <f t="shared" si="13"/>
        <v/>
      </c>
      <c r="J211">
        <f t="shared" si="14"/>
        <v>1</v>
      </c>
      <c r="K211">
        <f t="shared" si="15"/>
        <v>0.1</v>
      </c>
    </row>
    <row r="212" spans="1:11" x14ac:dyDescent="0.25">
      <c r="A212" t="s">
        <v>124</v>
      </c>
      <c r="B212" t="s">
        <v>24</v>
      </c>
      <c r="C212">
        <v>10</v>
      </c>
      <c r="D212">
        <v>10</v>
      </c>
      <c r="E212">
        <v>2</v>
      </c>
      <c r="F212">
        <v>0</v>
      </c>
      <c r="G212">
        <v>0</v>
      </c>
      <c r="H212">
        <f t="shared" si="12"/>
        <v>0.2</v>
      </c>
      <c r="I212">
        <f t="shared" si="13"/>
        <v>0</v>
      </c>
      <c r="J212" t="str">
        <f t="shared" si="14"/>
        <v/>
      </c>
      <c r="K212">
        <f t="shared" si="15"/>
        <v>0</v>
      </c>
    </row>
    <row r="213" spans="1:11" x14ac:dyDescent="0.25">
      <c r="A213" t="s">
        <v>110</v>
      </c>
      <c r="B213" t="s">
        <v>23</v>
      </c>
      <c r="C213">
        <v>10</v>
      </c>
      <c r="D213">
        <v>10</v>
      </c>
      <c r="E213">
        <v>0</v>
      </c>
      <c r="F213">
        <v>0</v>
      </c>
      <c r="G213">
        <v>0</v>
      </c>
      <c r="H213">
        <f t="shared" si="12"/>
        <v>0</v>
      </c>
      <c r="I213" t="str">
        <f t="shared" si="13"/>
        <v/>
      </c>
      <c r="J213" t="str">
        <f t="shared" si="14"/>
        <v/>
      </c>
      <c r="K213">
        <f t="shared" si="15"/>
        <v>0</v>
      </c>
    </row>
    <row r="214" spans="1:11" x14ac:dyDescent="0.25">
      <c r="A214" t="s">
        <v>123</v>
      </c>
      <c r="B214" t="s">
        <v>24</v>
      </c>
      <c r="C214">
        <v>10</v>
      </c>
      <c r="D214">
        <v>10</v>
      </c>
      <c r="E214">
        <v>2</v>
      </c>
      <c r="F214">
        <v>2</v>
      </c>
      <c r="G214">
        <v>0</v>
      </c>
      <c r="H214">
        <f t="shared" si="12"/>
        <v>0.2</v>
      </c>
      <c r="I214">
        <f t="shared" si="13"/>
        <v>1</v>
      </c>
      <c r="J214">
        <f t="shared" si="14"/>
        <v>0</v>
      </c>
      <c r="K214">
        <f t="shared" si="15"/>
        <v>0</v>
      </c>
    </row>
    <row r="215" spans="1:11" x14ac:dyDescent="0.25">
      <c r="A215" t="s">
        <v>125</v>
      </c>
      <c r="B215" t="s">
        <v>24</v>
      </c>
      <c r="C215">
        <v>9</v>
      </c>
      <c r="D215">
        <v>9</v>
      </c>
      <c r="E215">
        <v>2</v>
      </c>
      <c r="F215">
        <v>0</v>
      </c>
      <c r="G215">
        <v>0</v>
      </c>
      <c r="H215">
        <f t="shared" si="12"/>
        <v>0.22222222222222221</v>
      </c>
      <c r="I215">
        <f t="shared" si="13"/>
        <v>0</v>
      </c>
      <c r="J215" t="str">
        <f t="shared" si="14"/>
        <v/>
      </c>
      <c r="K215">
        <f t="shared" si="15"/>
        <v>0</v>
      </c>
    </row>
    <row r="216" spans="1:11" x14ac:dyDescent="0.25">
      <c r="A216" t="s">
        <v>125</v>
      </c>
      <c r="B216" t="s">
        <v>23</v>
      </c>
      <c r="C216">
        <v>9</v>
      </c>
      <c r="D216">
        <v>9</v>
      </c>
      <c r="E216">
        <v>3</v>
      </c>
      <c r="F216">
        <v>2</v>
      </c>
      <c r="G216">
        <v>1</v>
      </c>
      <c r="H216">
        <f t="shared" si="12"/>
        <v>0.33333333333333331</v>
      </c>
      <c r="I216">
        <f t="shared" si="13"/>
        <v>0.66666666666666663</v>
      </c>
      <c r="J216">
        <f t="shared" si="14"/>
        <v>0.5</v>
      </c>
      <c r="K216">
        <f t="shared" si="15"/>
        <v>0.1111111111111111</v>
      </c>
    </row>
    <row r="217" spans="1:11" x14ac:dyDescent="0.25">
      <c r="A217" t="s">
        <v>52</v>
      </c>
      <c r="B217" t="s">
        <v>31</v>
      </c>
      <c r="C217">
        <v>9</v>
      </c>
      <c r="D217">
        <v>9</v>
      </c>
      <c r="E217">
        <v>1</v>
      </c>
      <c r="F217">
        <v>2</v>
      </c>
      <c r="G217">
        <v>0</v>
      </c>
      <c r="H217">
        <f t="shared" si="12"/>
        <v>0.1111111111111111</v>
      </c>
      <c r="I217">
        <f t="shared" si="13"/>
        <v>2</v>
      </c>
      <c r="J217">
        <f t="shared" si="14"/>
        <v>0</v>
      </c>
      <c r="K217">
        <f t="shared" si="15"/>
        <v>0</v>
      </c>
    </row>
    <row r="218" spans="1:11" x14ac:dyDescent="0.25">
      <c r="A218" t="s">
        <v>126</v>
      </c>
      <c r="B218" t="s">
        <v>24</v>
      </c>
      <c r="C218">
        <v>9</v>
      </c>
      <c r="D218">
        <v>9</v>
      </c>
      <c r="E218">
        <v>2</v>
      </c>
      <c r="F218">
        <v>1</v>
      </c>
      <c r="G218">
        <v>1</v>
      </c>
      <c r="H218">
        <f t="shared" si="12"/>
        <v>0.22222222222222221</v>
      </c>
      <c r="I218">
        <f t="shared" si="13"/>
        <v>0.5</v>
      </c>
      <c r="J218">
        <f t="shared" si="14"/>
        <v>1</v>
      </c>
      <c r="K218">
        <f t="shared" si="15"/>
        <v>0.1111111111111111</v>
      </c>
    </row>
    <row r="219" spans="1:11" x14ac:dyDescent="0.25">
      <c r="A219" t="s">
        <v>45</v>
      </c>
      <c r="B219" t="s">
        <v>31</v>
      </c>
      <c r="C219">
        <v>9</v>
      </c>
      <c r="D219">
        <v>9</v>
      </c>
      <c r="E219">
        <v>1</v>
      </c>
      <c r="F219">
        <v>1</v>
      </c>
      <c r="G219">
        <v>0</v>
      </c>
      <c r="H219">
        <f t="shared" si="12"/>
        <v>0.1111111111111111</v>
      </c>
      <c r="I219">
        <f t="shared" si="13"/>
        <v>1</v>
      </c>
      <c r="J219">
        <f t="shared" si="14"/>
        <v>0</v>
      </c>
      <c r="K219">
        <f t="shared" si="15"/>
        <v>0</v>
      </c>
    </row>
    <row r="220" spans="1:11" x14ac:dyDescent="0.25">
      <c r="A220" t="s">
        <v>102</v>
      </c>
      <c r="B220" t="s">
        <v>24</v>
      </c>
      <c r="C220">
        <v>9</v>
      </c>
      <c r="D220">
        <v>9</v>
      </c>
      <c r="E220">
        <v>1</v>
      </c>
      <c r="F220">
        <v>1</v>
      </c>
      <c r="G220">
        <v>0</v>
      </c>
      <c r="H220">
        <f t="shared" si="12"/>
        <v>0.1111111111111111</v>
      </c>
      <c r="I220">
        <f t="shared" si="13"/>
        <v>1</v>
      </c>
      <c r="J220">
        <f t="shared" si="14"/>
        <v>0</v>
      </c>
      <c r="K220">
        <f t="shared" si="15"/>
        <v>0</v>
      </c>
    </row>
    <row r="221" spans="1:11" x14ac:dyDescent="0.25">
      <c r="A221" t="s">
        <v>127</v>
      </c>
      <c r="B221" t="s">
        <v>23</v>
      </c>
      <c r="C221">
        <v>9</v>
      </c>
      <c r="D221">
        <v>9</v>
      </c>
      <c r="E221">
        <v>0</v>
      </c>
      <c r="F221">
        <v>1</v>
      </c>
      <c r="G221">
        <v>0</v>
      </c>
      <c r="H221">
        <f t="shared" si="12"/>
        <v>0</v>
      </c>
      <c r="I221" t="str">
        <f t="shared" si="13"/>
        <v/>
      </c>
      <c r="J221">
        <f t="shared" si="14"/>
        <v>0</v>
      </c>
      <c r="K221">
        <f t="shared" si="15"/>
        <v>0</v>
      </c>
    </row>
    <row r="222" spans="1:11" x14ac:dyDescent="0.25">
      <c r="A222" t="s">
        <v>128</v>
      </c>
      <c r="B222" t="s">
        <v>24</v>
      </c>
      <c r="C222">
        <v>8</v>
      </c>
      <c r="D222">
        <v>8</v>
      </c>
      <c r="E222">
        <v>3</v>
      </c>
      <c r="F222">
        <v>3</v>
      </c>
      <c r="G222">
        <v>2</v>
      </c>
      <c r="H222">
        <f t="shared" si="12"/>
        <v>0.375</v>
      </c>
      <c r="I222">
        <f t="shared" si="13"/>
        <v>1</v>
      </c>
      <c r="J222">
        <f t="shared" si="14"/>
        <v>0.66666666666666663</v>
      </c>
      <c r="K222">
        <f t="shared" si="15"/>
        <v>0.25</v>
      </c>
    </row>
    <row r="223" spans="1:11" x14ac:dyDescent="0.25">
      <c r="A223" t="s">
        <v>107</v>
      </c>
      <c r="B223" t="s">
        <v>24</v>
      </c>
      <c r="C223">
        <v>8</v>
      </c>
      <c r="D223">
        <v>8</v>
      </c>
      <c r="E223">
        <v>0</v>
      </c>
      <c r="F223">
        <v>0</v>
      </c>
      <c r="G223">
        <v>0</v>
      </c>
      <c r="H223">
        <f t="shared" si="12"/>
        <v>0</v>
      </c>
      <c r="I223" t="str">
        <f t="shared" si="13"/>
        <v/>
      </c>
      <c r="J223" t="str">
        <f t="shared" si="14"/>
        <v/>
      </c>
      <c r="K223">
        <f t="shared" si="15"/>
        <v>0</v>
      </c>
    </row>
    <row r="224" spans="1:11" x14ac:dyDescent="0.25">
      <c r="A224" t="s">
        <v>58</v>
      </c>
      <c r="B224" t="s">
        <v>31</v>
      </c>
      <c r="C224">
        <v>8</v>
      </c>
      <c r="D224">
        <v>8</v>
      </c>
      <c r="E224">
        <v>4</v>
      </c>
      <c r="F224">
        <v>2</v>
      </c>
      <c r="G224">
        <v>1</v>
      </c>
      <c r="H224">
        <f t="shared" si="12"/>
        <v>0.5</v>
      </c>
      <c r="I224">
        <f t="shared" si="13"/>
        <v>0.5</v>
      </c>
      <c r="J224">
        <f t="shared" si="14"/>
        <v>0.5</v>
      </c>
      <c r="K224">
        <f t="shared" si="15"/>
        <v>0.125</v>
      </c>
    </row>
    <row r="225" spans="1:11" x14ac:dyDescent="0.25">
      <c r="A225" t="s">
        <v>111</v>
      </c>
      <c r="B225" t="s">
        <v>24</v>
      </c>
      <c r="C225">
        <v>8</v>
      </c>
      <c r="D225">
        <v>8</v>
      </c>
      <c r="E225">
        <v>1</v>
      </c>
      <c r="F225">
        <v>1</v>
      </c>
      <c r="G225">
        <v>0</v>
      </c>
      <c r="H225">
        <f t="shared" si="12"/>
        <v>0.125</v>
      </c>
      <c r="I225">
        <f t="shared" si="13"/>
        <v>1</v>
      </c>
      <c r="J225">
        <f t="shared" si="14"/>
        <v>0</v>
      </c>
      <c r="K225">
        <f t="shared" si="15"/>
        <v>0</v>
      </c>
    </row>
    <row r="226" spans="1:11" x14ac:dyDescent="0.25">
      <c r="A226" t="s">
        <v>129</v>
      </c>
      <c r="B226" t="s">
        <v>24</v>
      </c>
      <c r="C226">
        <v>8</v>
      </c>
      <c r="D226">
        <v>8</v>
      </c>
      <c r="E226">
        <v>0</v>
      </c>
      <c r="F226">
        <v>1</v>
      </c>
      <c r="G226">
        <v>1</v>
      </c>
      <c r="H226">
        <f t="shared" si="12"/>
        <v>0</v>
      </c>
      <c r="I226" t="str">
        <f t="shared" si="13"/>
        <v/>
      </c>
      <c r="J226">
        <f t="shared" si="14"/>
        <v>1</v>
      </c>
      <c r="K226">
        <f t="shared" si="15"/>
        <v>0.125</v>
      </c>
    </row>
    <row r="227" spans="1:11" x14ac:dyDescent="0.25">
      <c r="A227" t="s">
        <v>103</v>
      </c>
      <c r="B227" t="s">
        <v>24</v>
      </c>
      <c r="C227">
        <v>8</v>
      </c>
      <c r="D227">
        <v>8</v>
      </c>
      <c r="E227">
        <v>2</v>
      </c>
      <c r="F227">
        <v>1</v>
      </c>
      <c r="G227">
        <v>1</v>
      </c>
      <c r="H227">
        <f t="shared" si="12"/>
        <v>0.25</v>
      </c>
      <c r="I227">
        <f t="shared" si="13"/>
        <v>0.5</v>
      </c>
      <c r="J227">
        <f t="shared" si="14"/>
        <v>1</v>
      </c>
      <c r="K227">
        <f t="shared" si="15"/>
        <v>0.125</v>
      </c>
    </row>
    <row r="228" spans="1:11" x14ac:dyDescent="0.25">
      <c r="A228" t="s">
        <v>113</v>
      </c>
      <c r="B228" t="s">
        <v>24</v>
      </c>
      <c r="C228">
        <v>8</v>
      </c>
      <c r="D228">
        <v>8</v>
      </c>
      <c r="E228">
        <v>3</v>
      </c>
      <c r="F228">
        <v>1</v>
      </c>
      <c r="G228">
        <v>1</v>
      </c>
      <c r="H228">
        <f t="shared" si="12"/>
        <v>0.375</v>
      </c>
      <c r="I228">
        <f t="shared" si="13"/>
        <v>0.33333333333333331</v>
      </c>
      <c r="J228">
        <f t="shared" si="14"/>
        <v>1</v>
      </c>
      <c r="K228">
        <f t="shared" si="15"/>
        <v>0.125</v>
      </c>
    </row>
    <row r="229" spans="1:11" x14ac:dyDescent="0.25">
      <c r="A229" t="s">
        <v>130</v>
      </c>
      <c r="B229" t="s">
        <v>23</v>
      </c>
      <c r="C229">
        <v>8</v>
      </c>
      <c r="D229">
        <v>8</v>
      </c>
      <c r="E229">
        <v>2</v>
      </c>
      <c r="F229">
        <v>0</v>
      </c>
      <c r="G229">
        <v>0</v>
      </c>
      <c r="H229">
        <f t="shared" si="12"/>
        <v>0.25</v>
      </c>
      <c r="I229">
        <f t="shared" si="13"/>
        <v>0</v>
      </c>
      <c r="J229" t="str">
        <f t="shared" si="14"/>
        <v/>
      </c>
      <c r="K229">
        <f t="shared" si="15"/>
        <v>0</v>
      </c>
    </row>
    <row r="230" spans="1:11" x14ac:dyDescent="0.25">
      <c r="A230" t="s">
        <v>124</v>
      </c>
      <c r="B230" t="s">
        <v>23</v>
      </c>
      <c r="C230">
        <v>7</v>
      </c>
      <c r="D230">
        <v>7</v>
      </c>
      <c r="E230">
        <v>2</v>
      </c>
      <c r="F230">
        <v>2</v>
      </c>
      <c r="G230">
        <v>0</v>
      </c>
      <c r="H230">
        <f t="shared" si="12"/>
        <v>0.2857142857142857</v>
      </c>
      <c r="I230">
        <f t="shared" si="13"/>
        <v>1</v>
      </c>
      <c r="J230">
        <f t="shared" si="14"/>
        <v>0</v>
      </c>
      <c r="K230">
        <f t="shared" si="15"/>
        <v>0</v>
      </c>
    </row>
    <row r="231" spans="1:11" x14ac:dyDescent="0.25">
      <c r="A231" t="s">
        <v>131</v>
      </c>
      <c r="B231" t="s">
        <v>23</v>
      </c>
      <c r="C231">
        <v>7</v>
      </c>
      <c r="D231">
        <v>7</v>
      </c>
      <c r="E231">
        <v>0</v>
      </c>
      <c r="F231">
        <v>1</v>
      </c>
      <c r="G231">
        <v>0</v>
      </c>
      <c r="H231">
        <f t="shared" si="12"/>
        <v>0</v>
      </c>
      <c r="I231" t="str">
        <f t="shared" si="13"/>
        <v/>
      </c>
      <c r="J231">
        <f t="shared" si="14"/>
        <v>0</v>
      </c>
      <c r="K231">
        <f t="shared" si="15"/>
        <v>0</v>
      </c>
    </row>
    <row r="232" spans="1:11" x14ac:dyDescent="0.25">
      <c r="A232" t="s">
        <v>127</v>
      </c>
      <c r="B232" t="s">
        <v>24</v>
      </c>
      <c r="C232">
        <v>7</v>
      </c>
      <c r="D232">
        <v>7</v>
      </c>
      <c r="E232">
        <v>1</v>
      </c>
      <c r="F232">
        <v>1</v>
      </c>
      <c r="G232">
        <v>1</v>
      </c>
      <c r="H232">
        <f t="shared" si="12"/>
        <v>0.14285714285714285</v>
      </c>
      <c r="I232">
        <f t="shared" si="13"/>
        <v>1</v>
      </c>
      <c r="J232">
        <f t="shared" si="14"/>
        <v>1</v>
      </c>
      <c r="K232">
        <f t="shared" si="15"/>
        <v>0.14285714285714285</v>
      </c>
    </row>
    <row r="233" spans="1:11" x14ac:dyDescent="0.25">
      <c r="A233" t="s">
        <v>69</v>
      </c>
      <c r="B233" t="s">
        <v>31</v>
      </c>
      <c r="C233">
        <v>7</v>
      </c>
      <c r="D233">
        <v>7</v>
      </c>
      <c r="E233">
        <v>3</v>
      </c>
      <c r="F233">
        <v>2</v>
      </c>
      <c r="G233">
        <v>2</v>
      </c>
      <c r="H233">
        <f t="shared" si="12"/>
        <v>0.42857142857142855</v>
      </c>
      <c r="I233">
        <f t="shared" si="13"/>
        <v>0.66666666666666663</v>
      </c>
      <c r="J233">
        <f t="shared" si="14"/>
        <v>1</v>
      </c>
      <c r="K233">
        <f t="shared" si="15"/>
        <v>0.2857142857142857</v>
      </c>
    </row>
    <row r="234" spans="1:11" x14ac:dyDescent="0.25">
      <c r="A234" t="s">
        <v>66</v>
      </c>
      <c r="B234" t="s">
        <v>31</v>
      </c>
      <c r="C234">
        <v>7</v>
      </c>
      <c r="D234">
        <v>7</v>
      </c>
      <c r="E234">
        <v>0</v>
      </c>
      <c r="F234">
        <v>0</v>
      </c>
      <c r="G234">
        <v>0</v>
      </c>
      <c r="H234">
        <f t="shared" si="12"/>
        <v>0</v>
      </c>
      <c r="I234" t="str">
        <f t="shared" si="13"/>
        <v/>
      </c>
      <c r="J234" t="str">
        <f t="shared" si="14"/>
        <v/>
      </c>
      <c r="K234">
        <f t="shared" si="15"/>
        <v>0</v>
      </c>
    </row>
    <row r="235" spans="1:11" x14ac:dyDescent="0.25">
      <c r="A235" t="s">
        <v>106</v>
      </c>
      <c r="B235" t="s">
        <v>24</v>
      </c>
      <c r="C235">
        <v>7</v>
      </c>
      <c r="D235">
        <v>7</v>
      </c>
      <c r="E235">
        <v>1</v>
      </c>
      <c r="F235">
        <v>1</v>
      </c>
      <c r="G235">
        <v>1</v>
      </c>
      <c r="H235">
        <f t="shared" si="12"/>
        <v>0.14285714285714285</v>
      </c>
      <c r="I235">
        <f t="shared" si="13"/>
        <v>1</v>
      </c>
      <c r="J235">
        <f t="shared" si="14"/>
        <v>1</v>
      </c>
      <c r="K235">
        <f t="shared" si="15"/>
        <v>0.14285714285714285</v>
      </c>
    </row>
    <row r="236" spans="1:11" x14ac:dyDescent="0.25">
      <c r="A236" t="s">
        <v>129</v>
      </c>
      <c r="B236" t="s">
        <v>23</v>
      </c>
      <c r="C236">
        <v>7</v>
      </c>
      <c r="D236">
        <v>7</v>
      </c>
      <c r="E236">
        <v>0</v>
      </c>
      <c r="F236">
        <v>1</v>
      </c>
      <c r="G236">
        <v>1</v>
      </c>
      <c r="H236">
        <f t="shared" si="12"/>
        <v>0</v>
      </c>
      <c r="I236" t="str">
        <f t="shared" si="13"/>
        <v/>
      </c>
      <c r="J236">
        <f t="shared" si="14"/>
        <v>1</v>
      </c>
      <c r="K236">
        <f t="shared" si="15"/>
        <v>0.14285714285714285</v>
      </c>
    </row>
    <row r="237" spans="1:11" x14ac:dyDescent="0.25">
      <c r="A237" t="s">
        <v>128</v>
      </c>
      <c r="B237" t="s">
        <v>23</v>
      </c>
      <c r="C237">
        <v>6</v>
      </c>
      <c r="D237">
        <v>6</v>
      </c>
      <c r="E237">
        <v>1</v>
      </c>
      <c r="F237">
        <v>0</v>
      </c>
      <c r="G237">
        <v>0</v>
      </c>
      <c r="H237">
        <f t="shared" si="12"/>
        <v>0.16666666666666666</v>
      </c>
      <c r="I237">
        <f t="shared" si="13"/>
        <v>0</v>
      </c>
      <c r="J237" t="str">
        <f t="shared" si="14"/>
        <v/>
      </c>
      <c r="K237">
        <f t="shared" si="15"/>
        <v>0</v>
      </c>
    </row>
    <row r="238" spans="1:11" x14ac:dyDescent="0.25">
      <c r="A238" t="s">
        <v>132</v>
      </c>
      <c r="B238" t="s">
        <v>23</v>
      </c>
      <c r="C238">
        <v>6</v>
      </c>
      <c r="D238">
        <v>6</v>
      </c>
      <c r="E238">
        <v>2</v>
      </c>
      <c r="F238">
        <v>0</v>
      </c>
      <c r="G238">
        <v>0</v>
      </c>
      <c r="H238">
        <f t="shared" si="12"/>
        <v>0.33333333333333331</v>
      </c>
      <c r="I238">
        <f t="shared" si="13"/>
        <v>0</v>
      </c>
      <c r="J238" t="str">
        <f t="shared" si="14"/>
        <v/>
      </c>
      <c r="K238">
        <f t="shared" si="15"/>
        <v>0</v>
      </c>
    </row>
    <row r="239" spans="1:11" x14ac:dyDescent="0.25">
      <c r="A239" t="s">
        <v>46</v>
      </c>
      <c r="B239" t="s">
        <v>31</v>
      </c>
      <c r="C239">
        <v>6</v>
      </c>
      <c r="D239">
        <v>6</v>
      </c>
      <c r="E239">
        <v>1</v>
      </c>
      <c r="F239">
        <v>0</v>
      </c>
      <c r="G239">
        <v>0</v>
      </c>
      <c r="H239">
        <f t="shared" si="12"/>
        <v>0.16666666666666666</v>
      </c>
      <c r="I239">
        <f t="shared" si="13"/>
        <v>0</v>
      </c>
      <c r="J239" t="str">
        <f t="shared" si="14"/>
        <v/>
      </c>
      <c r="K239">
        <f t="shared" si="15"/>
        <v>0</v>
      </c>
    </row>
    <row r="240" spans="1:11" x14ac:dyDescent="0.25">
      <c r="A240" t="s">
        <v>61</v>
      </c>
      <c r="B240" t="s">
        <v>31</v>
      </c>
      <c r="C240">
        <v>6</v>
      </c>
      <c r="D240">
        <v>6</v>
      </c>
      <c r="E240">
        <v>0</v>
      </c>
      <c r="F240">
        <v>1</v>
      </c>
      <c r="G240">
        <v>0</v>
      </c>
      <c r="H240">
        <f t="shared" si="12"/>
        <v>0</v>
      </c>
      <c r="I240" t="str">
        <f t="shared" si="13"/>
        <v/>
      </c>
      <c r="J240">
        <f t="shared" si="14"/>
        <v>0</v>
      </c>
      <c r="K240">
        <f t="shared" si="15"/>
        <v>0</v>
      </c>
    </row>
    <row r="241" spans="1:11" x14ac:dyDescent="0.25">
      <c r="A241" t="s">
        <v>75</v>
      </c>
      <c r="B241" t="s">
        <v>31</v>
      </c>
      <c r="C241">
        <v>6</v>
      </c>
      <c r="D241">
        <v>6</v>
      </c>
      <c r="E241">
        <v>2</v>
      </c>
      <c r="F241">
        <v>0</v>
      </c>
      <c r="G241">
        <v>0</v>
      </c>
      <c r="H241">
        <f t="shared" si="12"/>
        <v>0.33333333333333331</v>
      </c>
      <c r="I241">
        <f t="shared" si="13"/>
        <v>0</v>
      </c>
      <c r="J241" t="str">
        <f t="shared" si="14"/>
        <v/>
      </c>
      <c r="K241">
        <f t="shared" si="15"/>
        <v>0</v>
      </c>
    </row>
    <row r="242" spans="1:11" x14ac:dyDescent="0.25">
      <c r="A242" t="s">
        <v>133</v>
      </c>
      <c r="B242" t="s">
        <v>24</v>
      </c>
      <c r="C242">
        <v>6</v>
      </c>
      <c r="D242">
        <v>6</v>
      </c>
      <c r="E242">
        <v>2</v>
      </c>
      <c r="F242">
        <v>2</v>
      </c>
      <c r="G242">
        <v>1</v>
      </c>
      <c r="H242">
        <f t="shared" si="12"/>
        <v>0.33333333333333331</v>
      </c>
      <c r="I242">
        <f t="shared" si="13"/>
        <v>1</v>
      </c>
      <c r="J242">
        <f t="shared" si="14"/>
        <v>0.5</v>
      </c>
      <c r="K242">
        <f t="shared" si="15"/>
        <v>0.16666666666666666</v>
      </c>
    </row>
    <row r="243" spans="1:11" x14ac:dyDescent="0.25">
      <c r="A243" t="s">
        <v>82</v>
      </c>
      <c r="B243" t="s">
        <v>31</v>
      </c>
      <c r="C243">
        <v>6</v>
      </c>
      <c r="D243">
        <v>6</v>
      </c>
      <c r="E243">
        <v>0</v>
      </c>
      <c r="F243">
        <v>1</v>
      </c>
      <c r="G243">
        <v>0</v>
      </c>
      <c r="H243">
        <f t="shared" si="12"/>
        <v>0</v>
      </c>
      <c r="I243" t="str">
        <f t="shared" si="13"/>
        <v/>
      </c>
      <c r="J243">
        <f t="shared" si="14"/>
        <v>0</v>
      </c>
      <c r="K243">
        <f t="shared" si="15"/>
        <v>0</v>
      </c>
    </row>
    <row r="244" spans="1:11" x14ac:dyDescent="0.25">
      <c r="A244" t="s">
        <v>116</v>
      </c>
      <c r="B244" t="s">
        <v>24</v>
      </c>
      <c r="C244">
        <v>6</v>
      </c>
      <c r="D244">
        <v>6</v>
      </c>
      <c r="E244">
        <v>1</v>
      </c>
      <c r="F244">
        <v>0</v>
      </c>
      <c r="G244">
        <v>0</v>
      </c>
      <c r="H244">
        <f t="shared" si="12"/>
        <v>0.16666666666666666</v>
      </c>
      <c r="I244">
        <f t="shared" si="13"/>
        <v>0</v>
      </c>
      <c r="J244" t="str">
        <f t="shared" si="14"/>
        <v/>
      </c>
      <c r="K244">
        <f t="shared" si="15"/>
        <v>0</v>
      </c>
    </row>
    <row r="245" spans="1:11" x14ac:dyDescent="0.25">
      <c r="A245" t="s">
        <v>54</v>
      </c>
      <c r="B245" t="s">
        <v>31</v>
      </c>
      <c r="C245">
        <v>6</v>
      </c>
      <c r="D245">
        <v>6</v>
      </c>
      <c r="E245">
        <v>0</v>
      </c>
      <c r="F245">
        <v>0</v>
      </c>
      <c r="G245">
        <v>0</v>
      </c>
      <c r="H245">
        <f t="shared" si="12"/>
        <v>0</v>
      </c>
      <c r="I245" t="str">
        <f t="shared" si="13"/>
        <v/>
      </c>
      <c r="J245" t="str">
        <f t="shared" si="14"/>
        <v/>
      </c>
      <c r="K245">
        <f t="shared" si="15"/>
        <v>0</v>
      </c>
    </row>
    <row r="246" spans="1:11" x14ac:dyDescent="0.25">
      <c r="A246" t="s">
        <v>109</v>
      </c>
      <c r="B246" t="s">
        <v>24</v>
      </c>
      <c r="C246">
        <v>6</v>
      </c>
      <c r="D246">
        <v>6</v>
      </c>
      <c r="E246">
        <v>0</v>
      </c>
      <c r="F246">
        <v>0</v>
      </c>
      <c r="G246">
        <v>0</v>
      </c>
      <c r="H246">
        <f t="shared" si="12"/>
        <v>0</v>
      </c>
      <c r="I246" t="str">
        <f t="shared" si="13"/>
        <v/>
      </c>
      <c r="J246" t="str">
        <f t="shared" si="14"/>
        <v/>
      </c>
      <c r="K246">
        <f t="shared" si="15"/>
        <v>0</v>
      </c>
    </row>
    <row r="247" spans="1:11" x14ac:dyDescent="0.25">
      <c r="A247" t="s">
        <v>51</v>
      </c>
      <c r="B247" t="s">
        <v>31</v>
      </c>
      <c r="C247">
        <v>6</v>
      </c>
      <c r="D247">
        <v>6</v>
      </c>
      <c r="E247">
        <v>1</v>
      </c>
      <c r="F247">
        <v>2</v>
      </c>
      <c r="G247">
        <v>2</v>
      </c>
      <c r="H247">
        <f t="shared" si="12"/>
        <v>0.16666666666666666</v>
      </c>
      <c r="I247">
        <f t="shared" si="13"/>
        <v>2</v>
      </c>
      <c r="J247">
        <f t="shared" si="14"/>
        <v>1</v>
      </c>
      <c r="K247">
        <f t="shared" si="15"/>
        <v>0.33333333333333331</v>
      </c>
    </row>
    <row r="248" spans="1:11" x14ac:dyDescent="0.25">
      <c r="A248" t="s">
        <v>133</v>
      </c>
      <c r="B248" t="s">
        <v>23</v>
      </c>
      <c r="C248">
        <v>6</v>
      </c>
      <c r="D248">
        <v>6</v>
      </c>
      <c r="E248">
        <v>1</v>
      </c>
      <c r="F248">
        <v>0</v>
      </c>
      <c r="G248">
        <v>0</v>
      </c>
      <c r="H248">
        <f t="shared" si="12"/>
        <v>0.16666666666666666</v>
      </c>
      <c r="I248">
        <f t="shared" si="13"/>
        <v>0</v>
      </c>
      <c r="J248" t="str">
        <f t="shared" si="14"/>
        <v/>
      </c>
      <c r="K248">
        <f t="shared" si="15"/>
        <v>0</v>
      </c>
    </row>
    <row r="249" spans="1:11" x14ac:dyDescent="0.25">
      <c r="A249" t="s">
        <v>114</v>
      </c>
      <c r="B249" t="s">
        <v>23</v>
      </c>
      <c r="C249">
        <v>6</v>
      </c>
      <c r="D249">
        <v>6</v>
      </c>
      <c r="E249">
        <v>2</v>
      </c>
      <c r="F249">
        <v>0</v>
      </c>
      <c r="G249">
        <v>0</v>
      </c>
      <c r="H249">
        <f t="shared" si="12"/>
        <v>0.33333333333333331</v>
      </c>
      <c r="I249">
        <f t="shared" si="13"/>
        <v>0</v>
      </c>
      <c r="J249" t="str">
        <f t="shared" si="14"/>
        <v/>
      </c>
      <c r="K249">
        <f t="shared" si="15"/>
        <v>0</v>
      </c>
    </row>
    <row r="250" spans="1:11" x14ac:dyDescent="0.25">
      <c r="A250" t="s">
        <v>57</v>
      </c>
      <c r="B250" t="s">
        <v>31</v>
      </c>
      <c r="C250">
        <v>5</v>
      </c>
      <c r="D250">
        <v>5</v>
      </c>
      <c r="E250">
        <v>1</v>
      </c>
      <c r="F250">
        <v>1</v>
      </c>
      <c r="G250">
        <v>0</v>
      </c>
      <c r="H250">
        <f t="shared" si="12"/>
        <v>0.2</v>
      </c>
      <c r="I250">
        <f t="shared" si="13"/>
        <v>1</v>
      </c>
      <c r="J250">
        <f t="shared" si="14"/>
        <v>0</v>
      </c>
      <c r="K250">
        <f t="shared" si="15"/>
        <v>0</v>
      </c>
    </row>
    <row r="251" spans="1:11" x14ac:dyDescent="0.25">
      <c r="A251" t="s">
        <v>49</v>
      </c>
      <c r="B251" t="s">
        <v>31</v>
      </c>
      <c r="C251">
        <v>5</v>
      </c>
      <c r="D251">
        <v>5</v>
      </c>
      <c r="E251">
        <v>0</v>
      </c>
      <c r="F251">
        <v>2</v>
      </c>
      <c r="G251">
        <v>1</v>
      </c>
      <c r="H251">
        <f t="shared" si="12"/>
        <v>0</v>
      </c>
      <c r="I251" t="str">
        <f t="shared" si="13"/>
        <v/>
      </c>
      <c r="J251">
        <f t="shared" si="14"/>
        <v>0.5</v>
      </c>
      <c r="K251">
        <f t="shared" si="15"/>
        <v>0.2</v>
      </c>
    </row>
    <row r="252" spans="1:11" x14ac:dyDescent="0.25">
      <c r="A252" t="s">
        <v>81</v>
      </c>
      <c r="B252" t="s">
        <v>31</v>
      </c>
      <c r="C252">
        <v>4</v>
      </c>
      <c r="D252">
        <v>4</v>
      </c>
      <c r="E252">
        <v>0</v>
      </c>
      <c r="F252">
        <v>1</v>
      </c>
      <c r="G252">
        <v>1</v>
      </c>
      <c r="H252">
        <f t="shared" si="12"/>
        <v>0</v>
      </c>
      <c r="I252" t="str">
        <f t="shared" si="13"/>
        <v/>
      </c>
      <c r="J252">
        <f t="shared" si="14"/>
        <v>1</v>
      </c>
      <c r="K252">
        <f t="shared" si="15"/>
        <v>0.25</v>
      </c>
    </row>
    <row r="253" spans="1:11" x14ac:dyDescent="0.25">
      <c r="A253" t="s">
        <v>71</v>
      </c>
      <c r="B253" t="s">
        <v>31</v>
      </c>
      <c r="C253">
        <v>4</v>
      </c>
      <c r="D253">
        <v>4</v>
      </c>
      <c r="E253">
        <v>2</v>
      </c>
      <c r="F253">
        <v>0</v>
      </c>
      <c r="G253">
        <v>0</v>
      </c>
      <c r="H253">
        <f t="shared" si="12"/>
        <v>0.5</v>
      </c>
      <c r="I253">
        <f t="shared" si="13"/>
        <v>0</v>
      </c>
      <c r="J253" t="str">
        <f t="shared" si="14"/>
        <v/>
      </c>
      <c r="K253">
        <f t="shared" si="15"/>
        <v>0</v>
      </c>
    </row>
    <row r="254" spans="1:11" x14ac:dyDescent="0.25">
      <c r="A254" t="s">
        <v>56</v>
      </c>
      <c r="B254" t="s">
        <v>31</v>
      </c>
      <c r="C254">
        <v>4</v>
      </c>
      <c r="D254">
        <v>4</v>
      </c>
      <c r="E254">
        <v>0</v>
      </c>
      <c r="F254">
        <v>0</v>
      </c>
      <c r="G254">
        <v>0</v>
      </c>
      <c r="H254">
        <f t="shared" si="12"/>
        <v>0</v>
      </c>
      <c r="I254" t="str">
        <f t="shared" si="13"/>
        <v/>
      </c>
      <c r="J254" t="str">
        <f t="shared" si="14"/>
        <v/>
      </c>
      <c r="K254">
        <f t="shared" si="15"/>
        <v>0</v>
      </c>
    </row>
    <row r="255" spans="1:11" x14ac:dyDescent="0.25">
      <c r="A255" t="s">
        <v>132</v>
      </c>
      <c r="B255" t="s">
        <v>24</v>
      </c>
      <c r="C255">
        <v>4</v>
      </c>
      <c r="D255">
        <v>4</v>
      </c>
      <c r="E255">
        <v>1</v>
      </c>
      <c r="F255">
        <v>0</v>
      </c>
      <c r="G255">
        <v>0</v>
      </c>
      <c r="H255">
        <f t="shared" si="12"/>
        <v>0.25</v>
      </c>
      <c r="I255">
        <f t="shared" si="13"/>
        <v>0</v>
      </c>
      <c r="J255" t="str">
        <f t="shared" si="14"/>
        <v/>
      </c>
      <c r="K255">
        <f t="shared" si="15"/>
        <v>0</v>
      </c>
    </row>
    <row r="256" spans="1:11" x14ac:dyDescent="0.25">
      <c r="A256" t="s">
        <v>59</v>
      </c>
      <c r="B256" t="s">
        <v>31</v>
      </c>
      <c r="C256">
        <v>4</v>
      </c>
      <c r="D256">
        <v>4</v>
      </c>
      <c r="E256">
        <v>0</v>
      </c>
      <c r="F256">
        <v>0</v>
      </c>
      <c r="G256">
        <v>0</v>
      </c>
      <c r="H256">
        <f t="shared" si="12"/>
        <v>0</v>
      </c>
      <c r="I256" t="str">
        <f t="shared" si="13"/>
        <v/>
      </c>
      <c r="J256" t="str">
        <f t="shared" si="14"/>
        <v/>
      </c>
      <c r="K256">
        <f t="shared" si="15"/>
        <v>0</v>
      </c>
    </row>
    <row r="257" spans="1:11" x14ac:dyDescent="0.25">
      <c r="A257" t="s">
        <v>97</v>
      </c>
      <c r="B257" t="s">
        <v>31</v>
      </c>
      <c r="C257">
        <v>4</v>
      </c>
      <c r="D257">
        <v>4</v>
      </c>
      <c r="E257">
        <v>4</v>
      </c>
      <c r="F257">
        <v>2</v>
      </c>
      <c r="G257">
        <v>1</v>
      </c>
      <c r="H257">
        <f t="shared" si="12"/>
        <v>1</v>
      </c>
      <c r="I257">
        <f t="shared" si="13"/>
        <v>0.5</v>
      </c>
      <c r="J257">
        <f t="shared" si="14"/>
        <v>0.5</v>
      </c>
      <c r="K257">
        <f t="shared" si="15"/>
        <v>0.25</v>
      </c>
    </row>
    <row r="258" spans="1:11" x14ac:dyDescent="0.25">
      <c r="A258" t="s">
        <v>122</v>
      </c>
      <c r="B258" t="s">
        <v>24</v>
      </c>
      <c r="C258">
        <v>4</v>
      </c>
      <c r="D258">
        <v>4</v>
      </c>
      <c r="E258">
        <v>2</v>
      </c>
      <c r="F258">
        <v>2</v>
      </c>
      <c r="G258">
        <v>0</v>
      </c>
      <c r="H258">
        <f t="shared" ref="H258:H299" si="16">IFERROR(E258/D258,"")</f>
        <v>0.5</v>
      </c>
      <c r="I258">
        <f t="shared" ref="I258:I299" si="17">IFERROR(F258/E258,"")</f>
        <v>1</v>
      </c>
      <c r="J258">
        <f t="shared" ref="J258:J299" si="18">IFERROR(G258/F258,"")</f>
        <v>0</v>
      </c>
      <c r="K258">
        <f t="shared" ref="K258:K299" si="19">IFERROR(G258/C258,"")</f>
        <v>0</v>
      </c>
    </row>
    <row r="259" spans="1:11" x14ac:dyDescent="0.25">
      <c r="A259" t="s">
        <v>118</v>
      </c>
      <c r="B259" t="s">
        <v>24</v>
      </c>
      <c r="C259">
        <v>4</v>
      </c>
      <c r="D259">
        <v>4</v>
      </c>
      <c r="E259">
        <v>1</v>
      </c>
      <c r="F259">
        <v>2</v>
      </c>
      <c r="G259">
        <v>1</v>
      </c>
      <c r="H259">
        <f t="shared" si="16"/>
        <v>0.25</v>
      </c>
      <c r="I259">
        <f t="shared" si="17"/>
        <v>2</v>
      </c>
      <c r="J259">
        <f t="shared" si="18"/>
        <v>0.5</v>
      </c>
      <c r="K259">
        <f t="shared" si="19"/>
        <v>0.25</v>
      </c>
    </row>
    <row r="260" spans="1:11" x14ac:dyDescent="0.25">
      <c r="A260" t="s">
        <v>65</v>
      </c>
      <c r="B260" t="s">
        <v>31</v>
      </c>
      <c r="C260">
        <v>4</v>
      </c>
      <c r="D260">
        <v>4</v>
      </c>
      <c r="E260">
        <v>1</v>
      </c>
      <c r="F260">
        <v>0</v>
      </c>
      <c r="G260">
        <v>0</v>
      </c>
      <c r="H260">
        <f t="shared" si="16"/>
        <v>0.25</v>
      </c>
      <c r="I260">
        <f t="shared" si="17"/>
        <v>0</v>
      </c>
      <c r="J260" t="str">
        <f t="shared" si="18"/>
        <v/>
      </c>
      <c r="K260">
        <f t="shared" si="19"/>
        <v>0</v>
      </c>
    </row>
    <row r="261" spans="1:11" x14ac:dyDescent="0.25">
      <c r="A261" t="s">
        <v>129</v>
      </c>
      <c r="B261" t="s">
        <v>31</v>
      </c>
      <c r="C261">
        <v>4</v>
      </c>
      <c r="D261">
        <v>4</v>
      </c>
      <c r="E261">
        <v>1</v>
      </c>
      <c r="F261">
        <v>0</v>
      </c>
      <c r="G261">
        <v>0</v>
      </c>
      <c r="H261">
        <f t="shared" si="16"/>
        <v>0.25</v>
      </c>
      <c r="I261">
        <f t="shared" si="17"/>
        <v>0</v>
      </c>
      <c r="J261" t="str">
        <f t="shared" si="18"/>
        <v/>
      </c>
      <c r="K261">
        <f t="shared" si="19"/>
        <v>0</v>
      </c>
    </row>
    <row r="262" spans="1:11" x14ac:dyDescent="0.25">
      <c r="A262" t="s">
        <v>77</v>
      </c>
      <c r="B262" t="s">
        <v>31</v>
      </c>
      <c r="C262">
        <v>4</v>
      </c>
      <c r="D262">
        <v>4</v>
      </c>
      <c r="E262">
        <v>0</v>
      </c>
      <c r="F262">
        <v>1</v>
      </c>
      <c r="G262">
        <v>1</v>
      </c>
      <c r="H262">
        <f t="shared" si="16"/>
        <v>0</v>
      </c>
      <c r="I262" t="str">
        <f t="shared" si="17"/>
        <v/>
      </c>
      <c r="J262">
        <f t="shared" si="18"/>
        <v>1</v>
      </c>
      <c r="K262">
        <f t="shared" si="19"/>
        <v>0.25</v>
      </c>
    </row>
    <row r="263" spans="1:11" x14ac:dyDescent="0.25">
      <c r="A263" t="s">
        <v>126</v>
      </c>
      <c r="B263" t="s">
        <v>23</v>
      </c>
      <c r="C263">
        <v>3</v>
      </c>
      <c r="D263">
        <v>3</v>
      </c>
      <c r="E263">
        <v>1</v>
      </c>
      <c r="F263">
        <v>1</v>
      </c>
      <c r="G263">
        <v>1</v>
      </c>
      <c r="H263">
        <f t="shared" si="16"/>
        <v>0.33333333333333331</v>
      </c>
      <c r="I263">
        <f t="shared" si="17"/>
        <v>1</v>
      </c>
      <c r="J263">
        <f t="shared" si="18"/>
        <v>1</v>
      </c>
      <c r="K263">
        <f t="shared" si="19"/>
        <v>0.33333333333333331</v>
      </c>
    </row>
    <row r="264" spans="1:11" x14ac:dyDescent="0.25">
      <c r="A264" t="s">
        <v>116</v>
      </c>
      <c r="B264" t="s">
        <v>31</v>
      </c>
      <c r="C264">
        <v>3</v>
      </c>
      <c r="D264">
        <v>2</v>
      </c>
      <c r="E264">
        <v>0</v>
      </c>
      <c r="F264">
        <v>1</v>
      </c>
      <c r="G264">
        <v>1</v>
      </c>
      <c r="H264">
        <f t="shared" si="16"/>
        <v>0</v>
      </c>
      <c r="I264" t="str">
        <f t="shared" si="17"/>
        <v/>
      </c>
      <c r="J264">
        <f t="shared" si="18"/>
        <v>1</v>
      </c>
      <c r="K264">
        <f t="shared" si="19"/>
        <v>0.33333333333333331</v>
      </c>
    </row>
    <row r="265" spans="1:11" x14ac:dyDescent="0.25">
      <c r="A265" t="s">
        <v>130</v>
      </c>
      <c r="B265" t="s">
        <v>24</v>
      </c>
      <c r="C265">
        <v>3</v>
      </c>
      <c r="D265">
        <v>3</v>
      </c>
      <c r="E265">
        <v>2</v>
      </c>
      <c r="F265">
        <v>1</v>
      </c>
      <c r="G265">
        <v>1</v>
      </c>
      <c r="H265">
        <f t="shared" si="16"/>
        <v>0.66666666666666663</v>
      </c>
      <c r="I265">
        <f t="shared" si="17"/>
        <v>0.5</v>
      </c>
      <c r="J265">
        <f t="shared" si="18"/>
        <v>1</v>
      </c>
      <c r="K265">
        <f t="shared" si="19"/>
        <v>0.33333333333333331</v>
      </c>
    </row>
    <row r="266" spans="1:11" x14ac:dyDescent="0.25">
      <c r="A266" t="s">
        <v>120</v>
      </c>
      <c r="B266" t="s">
        <v>24</v>
      </c>
      <c r="C266">
        <v>3</v>
      </c>
      <c r="D266">
        <v>3</v>
      </c>
      <c r="E266">
        <v>0</v>
      </c>
      <c r="F266">
        <v>1</v>
      </c>
      <c r="G266">
        <v>1</v>
      </c>
      <c r="H266">
        <f t="shared" si="16"/>
        <v>0</v>
      </c>
      <c r="I266" t="str">
        <f t="shared" si="17"/>
        <v/>
      </c>
      <c r="J266">
        <f t="shared" si="18"/>
        <v>1</v>
      </c>
      <c r="K266">
        <f t="shared" si="19"/>
        <v>0.33333333333333331</v>
      </c>
    </row>
    <row r="267" spans="1:11" x14ac:dyDescent="0.25">
      <c r="A267" t="s">
        <v>79</v>
      </c>
      <c r="B267" t="s">
        <v>31</v>
      </c>
      <c r="C267">
        <v>3</v>
      </c>
      <c r="D267">
        <v>3</v>
      </c>
      <c r="E267">
        <v>0</v>
      </c>
      <c r="F267">
        <v>0</v>
      </c>
      <c r="G267">
        <v>0</v>
      </c>
      <c r="H267">
        <f t="shared" si="16"/>
        <v>0</v>
      </c>
      <c r="I267" t="str">
        <f t="shared" si="17"/>
        <v/>
      </c>
      <c r="J267" t="str">
        <f t="shared" si="18"/>
        <v/>
      </c>
      <c r="K267">
        <f t="shared" si="19"/>
        <v>0</v>
      </c>
    </row>
    <row r="268" spans="1:11" x14ac:dyDescent="0.25">
      <c r="A268" t="s">
        <v>100</v>
      </c>
      <c r="B268" t="s">
        <v>31</v>
      </c>
      <c r="C268">
        <v>3</v>
      </c>
      <c r="D268">
        <v>3</v>
      </c>
      <c r="E268">
        <v>0</v>
      </c>
      <c r="F268">
        <v>0</v>
      </c>
      <c r="G268">
        <v>0</v>
      </c>
      <c r="H268">
        <f t="shared" si="16"/>
        <v>0</v>
      </c>
      <c r="I268" t="str">
        <f t="shared" si="17"/>
        <v/>
      </c>
      <c r="J268" t="str">
        <f t="shared" si="18"/>
        <v/>
      </c>
      <c r="K268">
        <f t="shared" si="19"/>
        <v>0</v>
      </c>
    </row>
    <row r="269" spans="1:11" x14ac:dyDescent="0.25">
      <c r="A269" t="s">
        <v>131</v>
      </c>
      <c r="B269" t="s">
        <v>24</v>
      </c>
      <c r="C269">
        <v>3</v>
      </c>
      <c r="D269">
        <v>3</v>
      </c>
      <c r="E269">
        <v>1</v>
      </c>
      <c r="F269">
        <v>0</v>
      </c>
      <c r="G269">
        <v>0</v>
      </c>
      <c r="H269">
        <f t="shared" si="16"/>
        <v>0.33333333333333331</v>
      </c>
      <c r="I269">
        <f t="shared" si="17"/>
        <v>0</v>
      </c>
      <c r="J269" t="str">
        <f t="shared" si="18"/>
        <v/>
      </c>
      <c r="K269">
        <f t="shared" si="19"/>
        <v>0</v>
      </c>
    </row>
    <row r="270" spans="1:11" x14ac:dyDescent="0.25">
      <c r="A270" t="s">
        <v>119</v>
      </c>
      <c r="B270" t="s">
        <v>24</v>
      </c>
      <c r="C270">
        <v>3</v>
      </c>
      <c r="D270">
        <v>3</v>
      </c>
      <c r="E270">
        <v>0</v>
      </c>
      <c r="F270">
        <v>0</v>
      </c>
      <c r="G270">
        <v>0</v>
      </c>
      <c r="H270">
        <f t="shared" si="16"/>
        <v>0</v>
      </c>
      <c r="I270" t="str">
        <f t="shared" si="17"/>
        <v/>
      </c>
      <c r="J270" t="str">
        <f t="shared" si="18"/>
        <v/>
      </c>
      <c r="K270">
        <f t="shared" si="19"/>
        <v>0</v>
      </c>
    </row>
    <row r="271" spans="1:11" x14ac:dyDescent="0.25">
      <c r="A271" t="s">
        <v>125</v>
      </c>
      <c r="B271" t="s">
        <v>31</v>
      </c>
      <c r="C271">
        <v>2</v>
      </c>
      <c r="D271">
        <v>2</v>
      </c>
      <c r="E271">
        <v>0</v>
      </c>
      <c r="F271">
        <v>0</v>
      </c>
      <c r="G271">
        <v>0</v>
      </c>
      <c r="H271">
        <f t="shared" si="16"/>
        <v>0</v>
      </c>
      <c r="I271" t="str">
        <f t="shared" si="17"/>
        <v/>
      </c>
      <c r="J271" t="str">
        <f t="shared" si="18"/>
        <v/>
      </c>
      <c r="K271">
        <f t="shared" si="19"/>
        <v>0</v>
      </c>
    </row>
    <row r="272" spans="1:11" x14ac:dyDescent="0.25">
      <c r="A272" t="s">
        <v>64</v>
      </c>
      <c r="B272" t="s">
        <v>31</v>
      </c>
      <c r="C272">
        <v>2</v>
      </c>
      <c r="D272">
        <v>2</v>
      </c>
      <c r="E272">
        <v>2</v>
      </c>
      <c r="F272">
        <v>1</v>
      </c>
      <c r="G272">
        <v>1</v>
      </c>
      <c r="H272">
        <f t="shared" si="16"/>
        <v>1</v>
      </c>
      <c r="I272">
        <f t="shared" si="17"/>
        <v>0.5</v>
      </c>
      <c r="J272">
        <f t="shared" si="18"/>
        <v>1</v>
      </c>
      <c r="K272">
        <f t="shared" si="19"/>
        <v>0.5</v>
      </c>
    </row>
    <row r="273" spans="1:11" x14ac:dyDescent="0.25">
      <c r="A273" t="s">
        <v>126</v>
      </c>
      <c r="B273" t="s">
        <v>31</v>
      </c>
      <c r="C273">
        <v>2</v>
      </c>
      <c r="D273">
        <v>2</v>
      </c>
      <c r="E273">
        <v>0</v>
      </c>
      <c r="F273">
        <v>0</v>
      </c>
      <c r="G273">
        <v>0</v>
      </c>
      <c r="H273">
        <f t="shared" si="16"/>
        <v>0</v>
      </c>
      <c r="I273" t="str">
        <f t="shared" si="17"/>
        <v/>
      </c>
      <c r="J273" t="str">
        <f t="shared" si="18"/>
        <v/>
      </c>
      <c r="K273">
        <f t="shared" si="19"/>
        <v>0</v>
      </c>
    </row>
    <row r="274" spans="1:11" x14ac:dyDescent="0.25">
      <c r="A274" t="s">
        <v>72</v>
      </c>
      <c r="B274" t="s">
        <v>31</v>
      </c>
      <c r="C274">
        <v>2</v>
      </c>
      <c r="D274">
        <v>2</v>
      </c>
      <c r="E274">
        <v>0</v>
      </c>
      <c r="F274">
        <v>0</v>
      </c>
      <c r="G274">
        <v>0</v>
      </c>
      <c r="H274">
        <f t="shared" si="16"/>
        <v>0</v>
      </c>
      <c r="I274" t="str">
        <f t="shared" si="17"/>
        <v/>
      </c>
      <c r="J274" t="str">
        <f t="shared" si="18"/>
        <v/>
      </c>
      <c r="K274">
        <f t="shared" si="19"/>
        <v>0</v>
      </c>
    </row>
    <row r="275" spans="1:11" x14ac:dyDescent="0.25">
      <c r="A275" t="s">
        <v>73</v>
      </c>
      <c r="B275" t="s">
        <v>31</v>
      </c>
      <c r="C275">
        <v>2</v>
      </c>
      <c r="D275">
        <v>2</v>
      </c>
      <c r="E275">
        <v>0</v>
      </c>
      <c r="F275">
        <v>1</v>
      </c>
      <c r="G275">
        <v>0</v>
      </c>
      <c r="H275">
        <f t="shared" si="16"/>
        <v>0</v>
      </c>
      <c r="I275" t="str">
        <f t="shared" si="17"/>
        <v/>
      </c>
      <c r="J275">
        <f t="shared" si="18"/>
        <v>0</v>
      </c>
      <c r="K275">
        <f t="shared" si="19"/>
        <v>0</v>
      </c>
    </row>
    <row r="276" spans="1:11" x14ac:dyDescent="0.25">
      <c r="A276" t="s">
        <v>103</v>
      </c>
      <c r="B276" t="s">
        <v>31</v>
      </c>
      <c r="C276">
        <v>2</v>
      </c>
      <c r="D276">
        <v>2</v>
      </c>
      <c r="E276">
        <v>0</v>
      </c>
      <c r="F276">
        <v>0</v>
      </c>
      <c r="G276">
        <v>0</v>
      </c>
      <c r="H276">
        <f t="shared" si="16"/>
        <v>0</v>
      </c>
      <c r="I276" t="str">
        <f t="shared" si="17"/>
        <v/>
      </c>
      <c r="J276" t="str">
        <f t="shared" si="18"/>
        <v/>
      </c>
      <c r="K276">
        <f t="shared" si="19"/>
        <v>0</v>
      </c>
    </row>
    <row r="277" spans="1:11" x14ac:dyDescent="0.25">
      <c r="A277" t="s">
        <v>68</v>
      </c>
      <c r="B277" t="s">
        <v>31</v>
      </c>
      <c r="C277">
        <v>2</v>
      </c>
      <c r="D277">
        <v>2</v>
      </c>
      <c r="E277">
        <v>0</v>
      </c>
      <c r="F277">
        <v>1</v>
      </c>
      <c r="G277">
        <v>1</v>
      </c>
      <c r="H277">
        <f t="shared" si="16"/>
        <v>0</v>
      </c>
      <c r="I277" t="str">
        <f t="shared" si="17"/>
        <v/>
      </c>
      <c r="J277">
        <f t="shared" si="18"/>
        <v>1</v>
      </c>
      <c r="K277">
        <f t="shared" si="19"/>
        <v>0.5</v>
      </c>
    </row>
    <row r="278" spans="1:11" x14ac:dyDescent="0.25">
      <c r="A278" t="s">
        <v>90</v>
      </c>
      <c r="B278" t="s">
        <v>31</v>
      </c>
      <c r="C278">
        <v>2</v>
      </c>
      <c r="D278">
        <v>2</v>
      </c>
      <c r="E278">
        <v>0</v>
      </c>
      <c r="F278">
        <v>0</v>
      </c>
      <c r="G278">
        <v>0</v>
      </c>
      <c r="H278">
        <f t="shared" si="16"/>
        <v>0</v>
      </c>
      <c r="I278" t="str">
        <f t="shared" si="17"/>
        <v/>
      </c>
      <c r="J278" t="str">
        <f t="shared" si="18"/>
        <v/>
      </c>
      <c r="K278">
        <f t="shared" si="19"/>
        <v>0</v>
      </c>
    </row>
    <row r="279" spans="1:11" x14ac:dyDescent="0.25">
      <c r="A279" t="s">
        <v>91</v>
      </c>
      <c r="B279" t="s">
        <v>31</v>
      </c>
      <c r="C279">
        <v>2</v>
      </c>
      <c r="D279">
        <v>2</v>
      </c>
      <c r="E279">
        <v>0</v>
      </c>
      <c r="F279">
        <v>0</v>
      </c>
      <c r="G279">
        <v>0</v>
      </c>
      <c r="H279">
        <f t="shared" si="16"/>
        <v>0</v>
      </c>
      <c r="I279" t="str">
        <f t="shared" si="17"/>
        <v/>
      </c>
      <c r="J279" t="str">
        <f t="shared" si="18"/>
        <v/>
      </c>
      <c r="K279">
        <f t="shared" si="19"/>
        <v>0</v>
      </c>
    </row>
    <row r="280" spans="1:11" x14ac:dyDescent="0.25">
      <c r="A280" t="s">
        <v>60</v>
      </c>
      <c r="B280" t="s">
        <v>31</v>
      </c>
      <c r="C280">
        <v>2</v>
      </c>
      <c r="D280">
        <v>2</v>
      </c>
      <c r="E280">
        <v>0</v>
      </c>
      <c r="F280">
        <v>1</v>
      </c>
      <c r="G280">
        <v>1</v>
      </c>
      <c r="H280">
        <f t="shared" si="16"/>
        <v>0</v>
      </c>
      <c r="I280" t="str">
        <f t="shared" si="17"/>
        <v/>
      </c>
      <c r="J280">
        <f t="shared" si="18"/>
        <v>1</v>
      </c>
      <c r="K280">
        <f t="shared" si="19"/>
        <v>0.5</v>
      </c>
    </row>
    <row r="281" spans="1:11" x14ac:dyDescent="0.25">
      <c r="A281" t="s">
        <v>86</v>
      </c>
      <c r="B281" t="s">
        <v>31</v>
      </c>
      <c r="C281">
        <v>2</v>
      </c>
      <c r="D281">
        <v>2</v>
      </c>
      <c r="E281">
        <v>0</v>
      </c>
      <c r="F281">
        <v>0</v>
      </c>
      <c r="G281">
        <v>0</v>
      </c>
      <c r="H281">
        <f t="shared" si="16"/>
        <v>0</v>
      </c>
      <c r="I281" t="str">
        <f t="shared" si="17"/>
        <v/>
      </c>
      <c r="J281" t="str">
        <f t="shared" si="18"/>
        <v/>
      </c>
      <c r="K281">
        <f t="shared" si="19"/>
        <v>0</v>
      </c>
    </row>
    <row r="282" spans="1:11" x14ac:dyDescent="0.25">
      <c r="A282" t="s">
        <v>115</v>
      </c>
      <c r="B282" t="s">
        <v>31</v>
      </c>
      <c r="C282">
        <v>2</v>
      </c>
      <c r="D282">
        <v>2</v>
      </c>
      <c r="E282">
        <v>0</v>
      </c>
      <c r="F282">
        <v>0</v>
      </c>
      <c r="G282">
        <v>0</v>
      </c>
      <c r="H282">
        <f t="shared" si="16"/>
        <v>0</v>
      </c>
      <c r="I282" t="str">
        <f t="shared" si="17"/>
        <v/>
      </c>
      <c r="J282" t="str">
        <f t="shared" si="18"/>
        <v/>
      </c>
      <c r="K282">
        <f t="shared" si="19"/>
        <v>0</v>
      </c>
    </row>
    <row r="283" spans="1:11" x14ac:dyDescent="0.25">
      <c r="A283" t="s">
        <v>62</v>
      </c>
      <c r="B283" t="s">
        <v>31</v>
      </c>
      <c r="C283">
        <v>2</v>
      </c>
      <c r="D283">
        <v>2</v>
      </c>
      <c r="E283">
        <v>0</v>
      </c>
      <c r="F283">
        <v>0</v>
      </c>
      <c r="G283">
        <v>0</v>
      </c>
      <c r="H283">
        <f t="shared" si="16"/>
        <v>0</v>
      </c>
      <c r="I283" t="str">
        <f t="shared" si="17"/>
        <v/>
      </c>
      <c r="J283" t="str">
        <f t="shared" si="18"/>
        <v/>
      </c>
      <c r="K283">
        <f t="shared" si="19"/>
        <v>0</v>
      </c>
    </row>
    <row r="284" spans="1:11" x14ac:dyDescent="0.25">
      <c r="A284" t="s">
        <v>95</v>
      </c>
      <c r="B284" t="s">
        <v>31</v>
      </c>
      <c r="C284">
        <v>2</v>
      </c>
      <c r="D284">
        <v>2</v>
      </c>
      <c r="E284">
        <v>0</v>
      </c>
      <c r="F284">
        <v>0</v>
      </c>
      <c r="G284">
        <v>0</v>
      </c>
      <c r="H284">
        <f t="shared" si="16"/>
        <v>0</v>
      </c>
      <c r="I284" t="str">
        <f t="shared" si="17"/>
        <v/>
      </c>
      <c r="J284" t="str">
        <f t="shared" si="18"/>
        <v/>
      </c>
      <c r="K284">
        <f t="shared" si="19"/>
        <v>0</v>
      </c>
    </row>
    <row r="285" spans="1:11" x14ac:dyDescent="0.25">
      <c r="A285" t="s">
        <v>80</v>
      </c>
      <c r="B285" t="s">
        <v>31</v>
      </c>
      <c r="C285">
        <v>2</v>
      </c>
      <c r="D285">
        <v>2</v>
      </c>
      <c r="E285">
        <v>0</v>
      </c>
      <c r="F285">
        <v>1</v>
      </c>
      <c r="G285">
        <v>0</v>
      </c>
      <c r="H285">
        <f t="shared" si="16"/>
        <v>0</v>
      </c>
      <c r="I285" t="str">
        <f t="shared" si="17"/>
        <v/>
      </c>
      <c r="J285">
        <f t="shared" si="18"/>
        <v>0</v>
      </c>
      <c r="K285">
        <f t="shared" si="19"/>
        <v>0</v>
      </c>
    </row>
    <row r="286" spans="1:11" x14ac:dyDescent="0.25">
      <c r="A286" t="s">
        <v>128</v>
      </c>
      <c r="B286" t="s">
        <v>31</v>
      </c>
      <c r="C286">
        <v>1</v>
      </c>
      <c r="D286">
        <v>1</v>
      </c>
      <c r="E286">
        <v>0</v>
      </c>
      <c r="F286">
        <v>0</v>
      </c>
      <c r="G286">
        <v>0</v>
      </c>
      <c r="H286">
        <f t="shared" si="16"/>
        <v>0</v>
      </c>
      <c r="I286" t="str">
        <f t="shared" si="17"/>
        <v/>
      </c>
      <c r="J286" t="str">
        <f t="shared" si="18"/>
        <v/>
      </c>
      <c r="K286">
        <f t="shared" si="19"/>
        <v>0</v>
      </c>
    </row>
    <row r="287" spans="1:11" x14ac:dyDescent="0.25">
      <c r="A287" t="s">
        <v>78</v>
      </c>
      <c r="B287" t="s">
        <v>31</v>
      </c>
      <c r="C287">
        <v>1</v>
      </c>
      <c r="D287">
        <v>1</v>
      </c>
      <c r="E287">
        <v>0</v>
      </c>
      <c r="F287">
        <v>0</v>
      </c>
      <c r="G287">
        <v>0</v>
      </c>
      <c r="H287">
        <f t="shared" si="16"/>
        <v>0</v>
      </c>
      <c r="I287" t="str">
        <f t="shared" si="17"/>
        <v/>
      </c>
      <c r="J287" t="str">
        <f t="shared" si="18"/>
        <v/>
      </c>
      <c r="K287">
        <f t="shared" si="19"/>
        <v>0</v>
      </c>
    </row>
    <row r="288" spans="1:11" x14ac:dyDescent="0.25">
      <c r="A288" t="s">
        <v>74</v>
      </c>
      <c r="B288" t="s">
        <v>31</v>
      </c>
      <c r="C288">
        <v>1</v>
      </c>
      <c r="D288">
        <v>1</v>
      </c>
      <c r="E288">
        <v>0</v>
      </c>
      <c r="F288">
        <v>0</v>
      </c>
      <c r="G288">
        <v>0</v>
      </c>
      <c r="H288">
        <f t="shared" si="16"/>
        <v>0</v>
      </c>
      <c r="I288" t="str">
        <f t="shared" si="17"/>
        <v/>
      </c>
      <c r="J288" t="str">
        <f t="shared" si="18"/>
        <v/>
      </c>
      <c r="K288">
        <f t="shared" si="19"/>
        <v>0</v>
      </c>
    </row>
    <row r="289" spans="1:11" x14ac:dyDescent="0.25">
      <c r="A289" t="s">
        <v>101</v>
      </c>
      <c r="B289" t="s">
        <v>31</v>
      </c>
      <c r="C289">
        <v>1</v>
      </c>
      <c r="D289">
        <v>1</v>
      </c>
      <c r="E289">
        <v>0</v>
      </c>
      <c r="F289">
        <v>0</v>
      </c>
      <c r="G289">
        <v>0</v>
      </c>
      <c r="H289">
        <f t="shared" si="16"/>
        <v>0</v>
      </c>
      <c r="I289" t="str">
        <f t="shared" si="17"/>
        <v/>
      </c>
      <c r="J289" t="str">
        <f t="shared" si="18"/>
        <v/>
      </c>
      <c r="K289">
        <f t="shared" si="19"/>
        <v>0</v>
      </c>
    </row>
    <row r="290" spans="1:11" x14ac:dyDescent="0.25">
      <c r="A290" t="s">
        <v>110</v>
      </c>
      <c r="B290" t="s">
        <v>31</v>
      </c>
      <c r="C290">
        <v>1</v>
      </c>
      <c r="D290">
        <v>1</v>
      </c>
      <c r="E290">
        <v>0</v>
      </c>
      <c r="F290">
        <v>0</v>
      </c>
      <c r="G290">
        <v>0</v>
      </c>
      <c r="H290">
        <f t="shared" si="16"/>
        <v>0</v>
      </c>
      <c r="I290" t="str">
        <f t="shared" si="17"/>
        <v/>
      </c>
      <c r="J290" t="str">
        <f t="shared" si="18"/>
        <v/>
      </c>
      <c r="K290">
        <f t="shared" si="19"/>
        <v>0</v>
      </c>
    </row>
    <row r="291" spans="1:11" x14ac:dyDescent="0.25">
      <c r="A291" t="s">
        <v>105</v>
      </c>
      <c r="B291" t="s">
        <v>31</v>
      </c>
      <c r="C291">
        <v>1</v>
      </c>
      <c r="D291">
        <v>1</v>
      </c>
      <c r="E291">
        <v>0</v>
      </c>
      <c r="F291">
        <v>0</v>
      </c>
      <c r="G291">
        <v>0</v>
      </c>
      <c r="H291">
        <f t="shared" si="16"/>
        <v>0</v>
      </c>
      <c r="I291" t="str">
        <f t="shared" si="17"/>
        <v/>
      </c>
      <c r="J291" t="str">
        <f t="shared" si="18"/>
        <v/>
      </c>
      <c r="K291">
        <f t="shared" si="19"/>
        <v>0</v>
      </c>
    </row>
    <row r="292" spans="1:11" x14ac:dyDescent="0.25">
      <c r="A292" t="s">
        <v>108</v>
      </c>
      <c r="B292" t="s">
        <v>31</v>
      </c>
      <c r="C292">
        <v>1</v>
      </c>
      <c r="D292">
        <v>1</v>
      </c>
      <c r="E292">
        <v>1</v>
      </c>
      <c r="F292">
        <v>1</v>
      </c>
      <c r="G292">
        <v>1</v>
      </c>
      <c r="H292">
        <f t="shared" si="16"/>
        <v>1</v>
      </c>
      <c r="I292">
        <f t="shared" si="17"/>
        <v>1</v>
      </c>
      <c r="J292">
        <f t="shared" si="18"/>
        <v>1</v>
      </c>
      <c r="K292">
        <f t="shared" si="19"/>
        <v>1</v>
      </c>
    </row>
    <row r="293" spans="1:11" x14ac:dyDescent="0.25">
      <c r="A293" t="s">
        <v>118</v>
      </c>
      <c r="B293" t="s">
        <v>31</v>
      </c>
      <c r="C293">
        <v>1</v>
      </c>
      <c r="D293">
        <v>1</v>
      </c>
      <c r="E293">
        <v>1</v>
      </c>
      <c r="F293">
        <v>0</v>
      </c>
      <c r="G293">
        <v>0</v>
      </c>
      <c r="H293">
        <f t="shared" si="16"/>
        <v>1</v>
      </c>
      <c r="I293">
        <f t="shared" si="17"/>
        <v>0</v>
      </c>
      <c r="J293" t="str">
        <f t="shared" si="18"/>
        <v/>
      </c>
      <c r="K293">
        <f t="shared" si="19"/>
        <v>0</v>
      </c>
    </row>
    <row r="294" spans="1:11" x14ac:dyDescent="0.25">
      <c r="A294" t="s">
        <v>119</v>
      </c>
      <c r="B294" t="s">
        <v>31</v>
      </c>
      <c r="C294">
        <v>1</v>
      </c>
      <c r="D294">
        <v>1</v>
      </c>
      <c r="E294">
        <v>0</v>
      </c>
      <c r="F294">
        <v>0</v>
      </c>
      <c r="G294">
        <v>0</v>
      </c>
      <c r="H294">
        <f t="shared" si="16"/>
        <v>0</v>
      </c>
      <c r="I294" t="str">
        <f t="shared" si="17"/>
        <v/>
      </c>
      <c r="J294" t="str">
        <f t="shared" si="18"/>
        <v/>
      </c>
      <c r="K294">
        <f t="shared" si="19"/>
        <v>0</v>
      </c>
    </row>
    <row r="295" spans="1:11" x14ac:dyDescent="0.25">
      <c r="A295" t="s">
        <v>85</v>
      </c>
      <c r="B295" t="s">
        <v>31</v>
      </c>
      <c r="C295">
        <v>1</v>
      </c>
      <c r="D295">
        <v>1</v>
      </c>
      <c r="E295">
        <v>0</v>
      </c>
      <c r="F295">
        <v>1</v>
      </c>
      <c r="G295">
        <v>0</v>
      </c>
      <c r="H295">
        <f t="shared" si="16"/>
        <v>0</v>
      </c>
      <c r="I295" t="str">
        <f t="shared" si="17"/>
        <v/>
      </c>
      <c r="J295">
        <f t="shared" si="18"/>
        <v>0</v>
      </c>
      <c r="K295">
        <f t="shared" si="19"/>
        <v>0</v>
      </c>
    </row>
    <row r="296" spans="1:11" x14ac:dyDescent="0.25">
      <c r="A296" t="s">
        <v>92</v>
      </c>
      <c r="B296" t="s">
        <v>31</v>
      </c>
      <c r="C296">
        <v>1</v>
      </c>
      <c r="D296">
        <v>1</v>
      </c>
      <c r="E296">
        <v>0</v>
      </c>
      <c r="F296">
        <v>0</v>
      </c>
      <c r="G296">
        <v>0</v>
      </c>
      <c r="H296">
        <f t="shared" si="16"/>
        <v>0</v>
      </c>
      <c r="I296" t="str">
        <f t="shared" si="17"/>
        <v/>
      </c>
      <c r="J296" t="str">
        <f t="shared" si="18"/>
        <v/>
      </c>
      <c r="K296">
        <f t="shared" si="19"/>
        <v>0</v>
      </c>
    </row>
    <row r="297" spans="1:11" x14ac:dyDescent="0.25">
      <c r="A297" t="s">
        <v>117</v>
      </c>
      <c r="B297" t="s">
        <v>31</v>
      </c>
      <c r="C297">
        <v>1</v>
      </c>
      <c r="D297">
        <v>1</v>
      </c>
      <c r="E297">
        <v>1</v>
      </c>
      <c r="F297">
        <v>1</v>
      </c>
      <c r="G297">
        <v>0</v>
      </c>
      <c r="H297">
        <f t="shared" si="16"/>
        <v>1</v>
      </c>
      <c r="I297">
        <f t="shared" si="17"/>
        <v>1</v>
      </c>
      <c r="J297">
        <f t="shared" si="18"/>
        <v>0</v>
      </c>
      <c r="K297">
        <f t="shared" si="19"/>
        <v>0</v>
      </c>
    </row>
    <row r="298" spans="1:11" x14ac:dyDescent="0.25">
      <c r="A298" t="s">
        <v>112</v>
      </c>
      <c r="B298" t="s">
        <v>31</v>
      </c>
      <c r="C298">
        <v>1</v>
      </c>
      <c r="D298">
        <v>1</v>
      </c>
      <c r="E298">
        <v>0</v>
      </c>
      <c r="F298">
        <v>1</v>
      </c>
      <c r="G298">
        <v>0</v>
      </c>
      <c r="H298">
        <f t="shared" si="16"/>
        <v>0</v>
      </c>
      <c r="I298" t="str">
        <f t="shared" si="17"/>
        <v/>
      </c>
      <c r="J298">
        <f t="shared" si="18"/>
        <v>0</v>
      </c>
      <c r="K298">
        <f t="shared" si="19"/>
        <v>0</v>
      </c>
    </row>
    <row r="299" spans="1:11" x14ac:dyDescent="0.25">
      <c r="A299" t="s">
        <v>83</v>
      </c>
      <c r="B299" t="s">
        <v>31</v>
      </c>
      <c r="C299">
        <v>1</v>
      </c>
      <c r="D299">
        <v>1</v>
      </c>
      <c r="E299">
        <v>1</v>
      </c>
      <c r="F299">
        <v>0</v>
      </c>
      <c r="G299">
        <v>0</v>
      </c>
      <c r="H299">
        <f t="shared" si="16"/>
        <v>1</v>
      </c>
      <c r="I299">
        <f t="shared" si="17"/>
        <v>0</v>
      </c>
      <c r="J299" t="str">
        <f t="shared" si="18"/>
        <v/>
      </c>
      <c r="K299">
        <f t="shared" si="19"/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18" customWidth="1"/>
    <col min="2" max="2" width="16" customWidth="1"/>
    <col min="3" max="3" width="18" customWidth="1"/>
  </cols>
  <sheetData>
    <row r="1" spans="1:3" ht="15" customHeight="1" x14ac:dyDescent="0.25">
      <c r="A1" s="15" t="s">
        <v>12</v>
      </c>
      <c r="B1" s="15" t="s">
        <v>13</v>
      </c>
      <c r="C1" s="15" t="s">
        <v>17</v>
      </c>
    </row>
    <row r="2" spans="1:3" ht="15" customHeight="1" x14ac:dyDescent="0.25">
      <c r="A2" s="9" t="s">
        <v>23</v>
      </c>
      <c r="B2" s="10">
        <v>45000</v>
      </c>
      <c r="C2" s="10">
        <v>3200</v>
      </c>
    </row>
    <row r="3" spans="1:3" ht="15" customHeight="1" x14ac:dyDescent="0.25">
      <c r="A3" s="12" t="s">
        <v>23</v>
      </c>
      <c r="B3" s="13">
        <v>44982</v>
      </c>
      <c r="C3" s="13">
        <v>2749</v>
      </c>
    </row>
    <row r="4" spans="1:3" ht="15" customHeight="1" x14ac:dyDescent="0.25">
      <c r="A4" s="12" t="s">
        <v>24</v>
      </c>
      <c r="B4" s="13">
        <v>30630</v>
      </c>
      <c r="C4" s="13">
        <v>1995</v>
      </c>
    </row>
    <row r="5" spans="1:3" ht="15" customHeight="1" x14ac:dyDescent="0.25">
      <c r="A5" s="12" t="s">
        <v>31</v>
      </c>
      <c r="B5" s="13">
        <v>1705</v>
      </c>
      <c r="C5" s="13">
        <v>104</v>
      </c>
    </row>
    <row r="6" spans="1:3" ht="15" customHeight="1" x14ac:dyDescent="0.25">
      <c r="A6" s="12"/>
      <c r="B6" s="13"/>
      <c r="C6" s="13"/>
    </row>
    <row r="7" spans="1:3" ht="15" customHeight="1" x14ac:dyDescent="0.25">
      <c r="A7" s="12"/>
      <c r="B7" s="13"/>
      <c r="C7" s="13"/>
    </row>
    <row r="8" spans="1:3" ht="15" customHeight="1" x14ac:dyDescent="0.25">
      <c r="A8" s="12"/>
      <c r="B8" s="13"/>
      <c r="C8" s="13"/>
    </row>
    <row r="9" spans="1:3" ht="15" customHeight="1" x14ac:dyDescent="0.25">
      <c r="A9" s="12"/>
      <c r="B9" s="13"/>
      <c r="C9" s="13"/>
    </row>
    <row r="10" spans="1:3" ht="15" customHeight="1" x14ac:dyDescent="0.25">
      <c r="A10" s="12"/>
      <c r="B10" s="13"/>
      <c r="C10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"/>
  <sheetViews>
    <sheetView zoomScaleNormal="100" workbookViewId="0"/>
  </sheetViews>
  <sheetFormatPr defaultColWidth="8.7109375" defaultRowHeight="15" x14ac:dyDescent="0.25"/>
  <cols>
    <col min="1" max="1" width="18" customWidth="1"/>
    <col min="2" max="3" width="16" customWidth="1"/>
    <col min="4" max="5" width="18" customWidth="1"/>
    <col min="6" max="7" width="16" customWidth="1"/>
  </cols>
  <sheetData>
    <row r="1" spans="1:7" ht="30" customHeight="1" x14ac:dyDescent="0.25">
      <c r="A1" s="20" t="s">
        <v>134</v>
      </c>
      <c r="B1" s="19"/>
      <c r="C1" s="19"/>
      <c r="D1" s="19"/>
      <c r="E1" s="19"/>
      <c r="F1" s="19"/>
      <c r="G1" s="19"/>
    </row>
    <row r="2" spans="1:7" ht="45" customHeight="1" x14ac:dyDescent="0.25">
      <c r="A2" s="18" t="s">
        <v>135</v>
      </c>
      <c r="B2" s="19"/>
      <c r="C2" s="19"/>
      <c r="D2" s="19"/>
      <c r="E2" s="19"/>
      <c r="F2" s="19"/>
      <c r="G2" s="19"/>
    </row>
    <row r="4" spans="1:7" ht="26.85" customHeight="1" x14ac:dyDescent="0.25">
      <c r="A4" s="8" t="s">
        <v>12</v>
      </c>
      <c r="B4" s="8" t="s">
        <v>136</v>
      </c>
      <c r="C4" s="8" t="s">
        <v>137</v>
      </c>
      <c r="D4" s="8" t="s">
        <v>138</v>
      </c>
      <c r="E4" s="8" t="s">
        <v>139</v>
      </c>
      <c r="F4" s="8" t="s">
        <v>140</v>
      </c>
      <c r="G4" s="8" t="s">
        <v>141</v>
      </c>
    </row>
    <row r="5" spans="1:7" ht="15" customHeight="1" x14ac:dyDescent="0.25">
      <c r="A5" s="16" t="s">
        <v>23</v>
      </c>
      <c r="B5" s="17">
        <f>SUMIFS(Raw_CountryDevice!$C$3:$C$299,Raw_CountryDevice!$B$3:$B$299,A5)</f>
        <v>44982</v>
      </c>
      <c r="C5" s="17">
        <f>SUMIFS(Raw_CountryDevice!$G$3:$G$299,Raw_CountryDevice!$B$3:$B$299,A5)</f>
        <v>2749</v>
      </c>
      <c r="D5" s="17">
        <f>IFERROR(INDEX(BQ_DeviceOnly_Benchmark!$B$3:$B$5,MATCH(A5,BQ_DeviceOnly_Benchmark!$A$3:$A$5,0)),0)</f>
        <v>44982</v>
      </c>
      <c r="E5" s="17">
        <f>IFERROR(INDEX(BQ_DeviceOnly_Benchmark!$C$3:$C$5,MATCH(A5,BQ_DeviceOnly_Benchmark!$A$3:$A$5,0)),0)</f>
        <v>2749</v>
      </c>
      <c r="F5" s="17">
        <f t="shared" ref="F5:G8" si="0">B5-D5</f>
        <v>0</v>
      </c>
      <c r="G5" s="17">
        <f t="shared" si="0"/>
        <v>0</v>
      </c>
    </row>
    <row r="6" spans="1:7" ht="15" customHeight="1" x14ac:dyDescent="0.25">
      <c r="A6" s="16" t="s">
        <v>24</v>
      </c>
      <c r="B6" s="17">
        <f>SUMIFS(Raw_CountryDevice!$C$3:$C$299,Raw_CountryDevice!$B$3:$B$299,A6)</f>
        <v>30630</v>
      </c>
      <c r="C6" s="17">
        <f>SUMIFS(Raw_CountryDevice!$G$3:$G$299,Raw_CountryDevice!$B$3:$B$299,A6)</f>
        <v>1995</v>
      </c>
      <c r="D6" s="17">
        <f>IFERROR(INDEX(BQ_DeviceOnly_Benchmark!$B$3:$B$5,MATCH(A6,BQ_DeviceOnly_Benchmark!$A$3:$A$5,0)),0)</f>
        <v>30630</v>
      </c>
      <c r="E6" s="17">
        <f>IFERROR(INDEX(BQ_DeviceOnly_Benchmark!$C$3:$C$5,MATCH(A6,BQ_DeviceOnly_Benchmark!$A$3:$A$5,0)),0)</f>
        <v>1995</v>
      </c>
      <c r="F6" s="17">
        <f t="shared" si="0"/>
        <v>0</v>
      </c>
      <c r="G6" s="17">
        <f t="shared" si="0"/>
        <v>0</v>
      </c>
    </row>
    <row r="7" spans="1:7" ht="15" customHeight="1" x14ac:dyDescent="0.25">
      <c r="A7" s="16" t="s">
        <v>31</v>
      </c>
      <c r="B7" s="17">
        <f>SUMIFS(Raw_CountryDevice!$C$3:$C$299,Raw_CountryDevice!$B$3:$B$299,A7)</f>
        <v>1705</v>
      </c>
      <c r="C7" s="17">
        <f>SUMIFS(Raw_CountryDevice!$G$3:$G$299,Raw_CountryDevice!$B$3:$B$299,A7)</f>
        <v>104</v>
      </c>
      <c r="D7" s="17">
        <f>IFERROR(INDEX(BQ_DeviceOnly_Benchmark!$B$3:$B$5,MATCH(A7,BQ_DeviceOnly_Benchmark!$A$3:$A$5,0)),0)</f>
        <v>1705</v>
      </c>
      <c r="E7" s="17">
        <f>IFERROR(INDEX(BQ_DeviceOnly_Benchmark!$C$3:$C$5,MATCH(A7,BQ_DeviceOnly_Benchmark!$A$3:$A$5,0)),0)</f>
        <v>104</v>
      </c>
      <c r="F7" s="17">
        <f t="shared" si="0"/>
        <v>0</v>
      </c>
      <c r="G7" s="17">
        <f t="shared" si="0"/>
        <v>0</v>
      </c>
    </row>
    <row r="8" spans="1:7" ht="15" customHeight="1" x14ac:dyDescent="0.25">
      <c r="A8" s="16" t="s">
        <v>142</v>
      </c>
      <c r="B8" s="17">
        <f>SUMIFS(Raw_CountryDevice!$C$3:$C$299,Raw_CountryDevice!$B$3:$B$299,A8)</f>
        <v>0</v>
      </c>
      <c r="C8" s="17">
        <f>SUMIFS(Raw_CountryDevice!$G$3:$G$299,Raw_CountryDevice!$B$3:$B$299,A8)</f>
        <v>0</v>
      </c>
      <c r="D8" s="17">
        <f>IFERROR(INDEX(BQ_DeviceOnly_Benchmark!$B$3:$B$5,MATCH(A8,BQ_DeviceOnly_Benchmark!$A$3:$A$5,0)),0)</f>
        <v>0</v>
      </c>
      <c r="E8" s="17">
        <f>IFERROR(INDEX(BQ_DeviceOnly_Benchmark!$C$3:$C$5,MATCH(A8,BQ_DeviceOnly_Benchmark!$A$3:$A$5,0)),0)</f>
        <v>0</v>
      </c>
      <c r="F8" s="17">
        <f t="shared" si="0"/>
        <v>0</v>
      </c>
      <c r="G8" s="17">
        <f t="shared" si="0"/>
        <v>0</v>
      </c>
    </row>
    <row r="10" spans="1:7" ht="15" customHeight="1" x14ac:dyDescent="0.25">
      <c r="A10" s="18" t="s">
        <v>143</v>
      </c>
      <c r="B10" s="19"/>
      <c r="C10" s="19"/>
      <c r="D10" s="19"/>
      <c r="E10" s="19"/>
      <c r="F10" s="19"/>
      <c r="G10" s="19"/>
    </row>
  </sheetData>
  <mergeCells count="3">
    <mergeCell ref="A2:G2"/>
    <mergeCell ref="A1:G1"/>
    <mergeCell ref="A10:G1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Raw_CountryDevice</vt:lpstr>
      <vt:lpstr>BQ_DeviceOnly_Benchmark</vt:lpstr>
      <vt:lpstr>CrossCheck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Sourav Sharma</cp:lastModifiedBy>
  <cp:revision>0</cp:revision>
  <dcterms:created xsi:type="dcterms:W3CDTF">2026-08-11T05:24:44Z</dcterms:created>
  <dcterms:modified xsi:type="dcterms:W3CDTF">2026-08-12T06:20:25Z</dcterms:modified>
  <dc:language>en-US</dc:language>
</cp:coreProperties>
</file>